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Borrower Overview" sheetId="1" state="visible" r:id="rId1"/>
    <sheet name="02 Income Statement" sheetId="2" state="visible" r:id="rId2"/>
    <sheet name="03 Balance Sheet" sheetId="3" state="visible" r:id="rId3"/>
    <sheet name="04 Ratio Analysis" sheetId="4" state="visible" r:id="rId4"/>
    <sheet name="05 DSCR Analysis" sheetId="5" state="visible" r:id="rId5"/>
    <sheet name="06 Collateral LTV" sheetId="6" state="visible" r:id="rId6"/>
    <sheet name="07 Risk Rating" sheetId="7" state="visible" r:id="rId7"/>
    <sheet name="08 Credit Memo" sheetId="8" state="visible" r:id="rId8"/>
    <sheet name="09 Sensitivity Analysis" sheetId="9" state="visible" r:id="rId9"/>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quot;x&quot;"/>
  </numFmts>
  <fonts count="11">
    <font>
      <name val="Calibri"/>
      <family val="2"/>
      <color theme="1"/>
      <sz val="11"/>
      <scheme val="minor"/>
    </font>
    <font>
      <b val="1"/>
      <color rgb="00FFFFFF"/>
      <sz val="14"/>
    </font>
    <font>
      <b val="1"/>
      <color rgb="00FFFFFF"/>
      <sz val="11"/>
    </font>
    <font>
      <b val="1"/>
      <color rgb="001F3864"/>
      <sz val="11"/>
    </font>
    <font>
      <b val="1"/>
      <color rgb="00000000"/>
    </font>
    <font>
      <color rgb="00000000"/>
    </font>
    <font>
      <b val="1"/>
      <color rgb="00FFFFFF"/>
    </font>
    <font>
      <b val="1"/>
      <color rgb="000000FF"/>
    </font>
    <font>
      <i val="1"/>
      <color rgb="00595959"/>
      <sz val="9"/>
    </font>
    <font>
      <color rgb="000000FF"/>
    </font>
    <font>
      <b val="1"/>
      <color rgb="00006100"/>
      <sz val="12"/>
    </font>
  </fonts>
  <fills count="6">
    <fill>
      <patternFill/>
    </fill>
    <fill>
      <patternFill patternType="gray125"/>
    </fill>
    <fill>
      <patternFill patternType="solid">
        <fgColor rgb="001F3864"/>
      </patternFill>
    </fill>
    <fill>
      <patternFill patternType="solid">
        <fgColor rgb="00D9E1F2"/>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164" fontId="7" fillId="0" borderId="1" applyAlignment="1" pivotButton="0" quotePrefix="0" xfId="0">
      <alignment horizontal="right" vertical="center"/>
    </xf>
    <xf numFmtId="1" fontId="7" fillId="0" borderId="1" applyAlignment="1" pivotButton="0" quotePrefix="0" xfId="0">
      <alignment horizontal="right" vertical="center"/>
    </xf>
    <xf numFmtId="165" fontId="7" fillId="0" borderId="1" applyAlignment="1" pivotButton="0" quotePrefix="0" xfId="0">
      <alignment horizontal="right" vertical="center"/>
    </xf>
    <xf numFmtId="0" fontId="8" fillId="0" borderId="0" applyAlignment="1" pivotButton="0" quotePrefix="0" xfId="0">
      <alignment horizontal="left" vertical="top" wrapText="1"/>
    </xf>
    <xf numFmtId="166" fontId="9" fillId="0" borderId="1" applyAlignment="1" pivotButton="0" quotePrefix="0" xfId="0">
      <alignment horizontal="right" vertical="center"/>
    </xf>
    <xf numFmtId="166" fontId="4" fillId="4" borderId="1" applyAlignment="1" pivotButton="0" quotePrefix="0" xfId="0">
      <alignment horizontal="right" vertical="center"/>
    </xf>
    <xf numFmtId="166" fontId="5" fillId="0" borderId="1" applyAlignment="1" pivotButton="0" quotePrefix="0" xfId="0">
      <alignment horizontal="right" vertical="center"/>
    </xf>
    <xf numFmtId="166" fontId="4" fillId="5" borderId="1" applyAlignment="1" pivotButton="0" quotePrefix="0" xfId="0">
      <alignment horizontal="right" vertical="center"/>
    </xf>
    <xf numFmtId="166" fontId="4" fillId="3" borderId="1" applyAlignment="1" pivotButton="0" quotePrefix="0" xfId="0">
      <alignment horizontal="right" vertical="center"/>
    </xf>
    <xf numFmtId="0" fontId="5" fillId="0" borderId="1" applyAlignment="1" pivotButton="0" quotePrefix="0" xfId="0">
      <alignment horizontal="right" vertical="center"/>
    </xf>
    <xf numFmtId="165" fontId="5" fillId="0" borderId="1" applyAlignment="1" pivotButton="0" quotePrefix="0" xfId="0">
      <alignment horizontal="right" vertical="center"/>
    </xf>
    <xf numFmtId="0" fontId="8" fillId="0" borderId="1" applyAlignment="1" pivotButton="0" quotePrefix="0" xfId="0">
      <alignment horizontal="left" vertical="top" wrapText="1"/>
    </xf>
    <xf numFmtId="167" fontId="5" fillId="0" borderId="1" applyAlignment="1" pivotButton="0" quotePrefix="0" xfId="0">
      <alignment horizontal="right" vertical="center"/>
    </xf>
    <xf numFmtId="164" fontId="5" fillId="0" borderId="1" applyAlignment="1" pivotButton="0" quotePrefix="0" xfId="0">
      <alignment horizontal="right" vertical="center"/>
    </xf>
    <xf numFmtId="1" fontId="5" fillId="0" borderId="1" applyAlignment="1" pivotButton="0" quotePrefix="0" xfId="0">
      <alignment horizontal="right" vertical="center"/>
    </xf>
    <xf numFmtId="164" fontId="4" fillId="3" borderId="1" applyAlignment="1" pivotButton="0" quotePrefix="0" xfId="0">
      <alignment horizontal="right" vertical="center"/>
    </xf>
    <xf numFmtId="164" fontId="9" fillId="0" borderId="1" applyAlignment="1" pivotButton="0" quotePrefix="0" xfId="0">
      <alignment horizontal="right" vertical="center"/>
    </xf>
    <xf numFmtId="167" fontId="4" fillId="5" borderId="1" applyAlignment="1" pivotButton="0" quotePrefix="0" xfId="0">
      <alignment horizontal="right" vertical="center"/>
    </xf>
    <xf numFmtId="167" fontId="9" fillId="0" borderId="1" applyAlignment="1" pivotButton="0" quotePrefix="0" xfId="0">
      <alignment horizontal="right" vertical="center"/>
    </xf>
    <xf numFmtId="49" fontId="4" fillId="5" borderId="1" applyAlignment="1" pivotButton="0" quotePrefix="0" xfId="0">
      <alignment horizontal="right" vertical="center"/>
    </xf>
    <xf numFmtId="165" fontId="9" fillId="0" borderId="1" applyAlignment="1" pivotButton="0" quotePrefix="0" xfId="0">
      <alignment horizontal="right" vertical="center"/>
    </xf>
    <xf numFmtId="164" fontId="4" fillId="4" borderId="1" applyAlignment="1" pivotButton="0" quotePrefix="0" xfId="0">
      <alignment horizontal="right" vertical="center"/>
    </xf>
    <xf numFmtId="0" fontId="0" fillId="0" borderId="1" pivotButton="0" quotePrefix="0" xfId="0"/>
    <xf numFmtId="165" fontId="4" fillId="0" borderId="1" applyAlignment="1" pivotButton="0" quotePrefix="0" xfId="0">
      <alignment horizontal="right" vertical="center"/>
    </xf>
    <xf numFmtId="1" fontId="9" fillId="0" borderId="1" applyAlignment="1" pivotButton="0" quotePrefix="0" xfId="0">
      <alignment horizontal="right" vertical="center"/>
    </xf>
    <xf numFmtId="2" fontId="5" fillId="0" borderId="1" applyAlignment="1" pivotButton="0" quotePrefix="0" xfId="0">
      <alignment horizontal="right" vertical="center"/>
    </xf>
    <xf numFmtId="2" fontId="4" fillId="3" borderId="1" applyAlignment="1" pivotButton="0" quotePrefix="0" xfId="0">
      <alignment horizontal="right" vertical="center"/>
    </xf>
    <xf numFmtId="0" fontId="10" fillId="5" borderId="0" applyAlignment="1" pivotButton="0" quotePrefix="0" xfId="0">
      <alignment horizontal="left" vertical="center" wrapText="1"/>
    </xf>
    <xf numFmtId="49" fontId="4" fillId="0" borderId="1" applyAlignment="1" pivotButton="0" quotePrefix="0" xfId="0">
      <alignment horizontal="left" vertical="center" wrapText="1"/>
    </xf>
    <xf numFmtId="167" fontId="4" fillId="0" borderId="1" applyAlignment="1" pivotButton="0" quotePrefix="0" xfId="0">
      <alignment horizontal="left" vertical="center" wrapText="1"/>
    </xf>
    <xf numFmtId="0" fontId="5" fillId="0" borderId="0" applyAlignment="1" pivotButton="0" quotePrefix="0" xfId="0">
      <alignment horizontal="left" vertical="top" wrapText="1"/>
    </xf>
    <xf numFmtId="167" fontId="4" fillId="3" borderId="1" applyAlignment="1" pivotButton="0" quotePrefix="0" xfId="0">
      <alignment horizontal="right" vertical="center"/>
    </xf>
    <xf numFmtId="49" fontId="4"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26" customWidth="1" min="1" max="1"/>
    <col width="40" customWidth="1" min="2" max="2"/>
    <col width="16" customWidth="1" min="3" max="3"/>
    <col width="16" customWidth="1" min="4" max="4"/>
  </cols>
  <sheetData>
    <row r="1" ht="26" customHeight="1">
      <c r="A1" s="1" t="inlineStr">
        <is>
          <t>Commercial Credit Underwriting Model</t>
        </is>
      </c>
    </row>
    <row r="2" ht="18" customHeight="1">
      <c r="A2" s="2" t="inlineStr">
        <is>
          <t>Northstar Equipment Services LLC  |  $750,000 Term Loan</t>
        </is>
      </c>
    </row>
    <row r="4">
      <c r="A4" s="3" t="inlineStr">
        <is>
          <t>Borrower &amp; Request Summary</t>
        </is>
      </c>
    </row>
    <row r="5">
      <c r="A5" s="4" t="inlineStr">
        <is>
          <t>Borrower</t>
        </is>
      </c>
      <c r="B5" s="5" t="inlineStr">
        <is>
          <t>Northstar Equipment Services LLC</t>
        </is>
      </c>
    </row>
    <row r="6">
      <c r="A6" s="4" t="inlineStr">
        <is>
          <t>Entity Type</t>
        </is>
      </c>
      <c r="B6" s="5" t="inlineStr">
        <is>
          <t>Limited Liability Company (LLC)</t>
        </is>
      </c>
    </row>
    <row r="7">
      <c r="A7" s="4" t="inlineStr">
        <is>
          <t>Industry</t>
        </is>
      </c>
      <c r="B7" s="5" t="inlineStr">
        <is>
          <t>Commercial equipment repair &amp; maintenance</t>
        </is>
      </c>
    </row>
    <row r="8">
      <c r="A8" s="4" t="inlineStr">
        <is>
          <t>Relationship</t>
        </is>
      </c>
      <c r="B8" s="5" t="inlineStr">
        <is>
          <t>New borrower (no prior bank history)</t>
        </is>
      </c>
    </row>
    <row r="9">
      <c r="A9" s="4" t="inlineStr">
        <is>
          <t>Loan Request</t>
        </is>
      </c>
      <c r="B9" s="5" t="inlineStr">
        <is>
          <t>$750,000 senior secured term loan</t>
        </is>
      </c>
    </row>
    <row r="10">
      <c r="A10" s="4" t="inlineStr">
        <is>
          <t>Purpose</t>
        </is>
      </c>
      <c r="B10" s="5" t="inlineStr">
        <is>
          <t>Purchase service vehicles and shop equipment</t>
        </is>
      </c>
    </row>
    <row r="11">
      <c r="A11" s="4" t="inlineStr">
        <is>
          <t>Repayment Source</t>
        </is>
      </c>
      <c r="B11" s="5" t="inlineStr">
        <is>
          <t>Operating cash flow (EBITDA)</t>
        </is>
      </c>
    </row>
    <row r="12">
      <c r="A12" s="4" t="inlineStr">
        <is>
          <t>Collateral</t>
        </is>
      </c>
      <c r="B12" s="5" t="inlineStr">
        <is>
          <t>Service vehicles &amp; equipment (purchase-money lien)</t>
        </is>
      </c>
    </row>
    <row r="13">
      <c r="A13" s="4" t="inlineStr">
        <is>
          <t>Guarantee</t>
        </is>
      </c>
      <c r="B13" s="5" t="inlineStr">
        <is>
          <t>Full personal guarantee of majority owner</t>
        </is>
      </c>
    </row>
    <row r="14">
      <c r="A14" s="4" t="inlineStr">
        <is>
          <t>Underwriting Question</t>
        </is>
      </c>
      <c r="B14" s="5" t="inlineStr">
        <is>
          <t>Should the bank approve this loan?</t>
        </is>
      </c>
    </row>
    <row r="16">
      <c r="A16" s="3" t="inlineStr">
        <is>
          <t>Proposed Loan Terms  (blue = input assumptions)</t>
        </is>
      </c>
    </row>
    <row r="17">
      <c r="A17" s="6" t="inlineStr">
        <is>
          <t>Term</t>
        </is>
      </c>
      <c r="B17" s="6" t="inlineStr">
        <is>
          <t>Value</t>
        </is>
      </c>
    </row>
    <row r="18">
      <c r="A18" s="4" t="inlineStr">
        <is>
          <t>Loan Amount</t>
        </is>
      </c>
      <c r="B18" s="7" t="n">
        <v>750000</v>
      </c>
    </row>
    <row r="19">
      <c r="A19" s="4" t="inlineStr">
        <is>
          <t>Term (months)</t>
        </is>
      </c>
      <c r="B19" s="8" t="n">
        <v>60</v>
      </c>
    </row>
    <row r="20">
      <c r="A20" s="4" t="inlineStr">
        <is>
          <t>Annual Interest Rate</t>
        </is>
      </c>
      <c r="B20" s="9" t="n">
        <v>0.0825</v>
      </c>
    </row>
    <row r="21">
      <c r="A21" s="4" t="inlineStr">
        <is>
          <t>Amortization</t>
        </is>
      </c>
      <c r="B21" s="5" t="inlineStr">
        <is>
          <t>Fully amortizing, monthly P&amp;I</t>
        </is>
      </c>
    </row>
    <row r="22">
      <c r="A22" s="4" t="inlineStr">
        <is>
          <t>Equity Injection</t>
        </is>
      </c>
      <c r="B22" s="7" t="n">
        <v>85000</v>
      </c>
    </row>
    <row r="24" ht="42" customHeight="1">
      <c r="A24" s="10" t="inlineStr">
        <is>
          <t>How to read this workbook:  Blue font = input assumptions you can change. Black font = formulas/outputs driven by the inputs. Each tab flows into the next, ending in the Risk Rating scorecard and Credit Memo recommendation.</t>
        </is>
      </c>
    </row>
  </sheetData>
  <mergeCells count="5">
    <mergeCell ref="A1:D1"/>
    <mergeCell ref="A4:D4"/>
    <mergeCell ref="A24:D24"/>
    <mergeCell ref="A16:D16"/>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s>
  <sheetData>
    <row r="1" ht="26" customHeight="1">
      <c r="A1" s="1" t="inlineStr">
        <is>
          <t>Income Statement</t>
        </is>
      </c>
    </row>
    <row r="2" ht="18" customHeight="1">
      <c r="A2" s="2" t="inlineStr">
        <is>
          <t>Northstar Equipment Services LLC  |  USD, fiscal year</t>
        </is>
      </c>
    </row>
    <row r="4">
      <c r="A4" s="6" t="inlineStr">
        <is>
          <t>Line Item ($)</t>
        </is>
      </c>
      <c r="B4" s="6" t="inlineStr">
        <is>
          <t>2023</t>
        </is>
      </c>
      <c r="C4" s="6" t="inlineStr">
        <is>
          <t>2024</t>
        </is>
      </c>
      <c r="D4" s="6" t="inlineStr">
        <is>
          <t>2025</t>
        </is>
      </c>
    </row>
    <row r="5">
      <c r="A5" s="4" t="inlineStr">
        <is>
          <t>Revenue</t>
        </is>
      </c>
      <c r="B5" s="11" t="n">
        <v>4200000</v>
      </c>
      <c r="C5" s="11" t="n">
        <v>4800000</v>
      </c>
      <c r="D5" s="11" t="n">
        <v>5400000</v>
      </c>
    </row>
    <row r="6">
      <c r="A6" s="5" t="inlineStr">
        <is>
          <t>Cost of Goods Sold (COGS)</t>
        </is>
      </c>
      <c r="B6" s="11" t="n">
        <v>2604000</v>
      </c>
      <c r="C6" s="11" t="n">
        <v>2952000</v>
      </c>
      <c r="D6" s="11" t="n">
        <v>3294000</v>
      </c>
    </row>
    <row r="7">
      <c r="A7" s="4" t="inlineStr">
        <is>
          <t>Gross Profit</t>
        </is>
      </c>
      <c r="B7" s="12">
        <f>B5-B6</f>
        <v/>
      </c>
      <c r="C7" s="12">
        <f>C5-C6</f>
        <v/>
      </c>
      <c r="D7" s="12">
        <f>D5-D6</f>
        <v/>
      </c>
    </row>
    <row r="8">
      <c r="A8" s="5" t="inlineStr">
        <is>
          <t>Operating Expenses (excl. D&amp;A)</t>
        </is>
      </c>
      <c r="B8" s="11" t="n">
        <v>1180000</v>
      </c>
      <c r="C8" s="11" t="n">
        <v>1330000</v>
      </c>
      <c r="D8" s="11" t="n">
        <v>1480000</v>
      </c>
    </row>
    <row r="9">
      <c r="A9" s="4" t="inlineStr">
        <is>
          <t>EBITDA</t>
        </is>
      </c>
      <c r="B9" s="12">
        <f>B7-B8</f>
        <v/>
      </c>
      <c r="C9" s="12">
        <f>C7-C8</f>
        <v/>
      </c>
      <c r="D9" s="12">
        <f>D7-D8</f>
        <v/>
      </c>
    </row>
    <row r="10">
      <c r="A10" s="5" t="inlineStr">
        <is>
          <t>Depreciation &amp; Amortization</t>
        </is>
      </c>
      <c r="B10" s="11" t="n">
        <v>130000</v>
      </c>
      <c r="C10" s="11" t="n">
        <v>145000</v>
      </c>
      <c r="D10" s="11" t="n">
        <v>160000</v>
      </c>
    </row>
    <row r="11">
      <c r="A11" s="5" t="inlineStr">
        <is>
          <t>EBIT (Operating Income)</t>
        </is>
      </c>
      <c r="B11" s="13">
        <f>B9-B10</f>
        <v/>
      </c>
      <c r="C11" s="13">
        <f>C9-C10</f>
        <v/>
      </c>
      <c r="D11" s="13">
        <f>D9-D10</f>
        <v/>
      </c>
    </row>
    <row r="12">
      <c r="A12" s="5" t="inlineStr">
        <is>
          <t>Interest Expense</t>
        </is>
      </c>
      <c r="B12" s="11" t="n">
        <v>95000</v>
      </c>
      <c r="C12" s="11" t="n">
        <v>105000</v>
      </c>
      <c r="D12" s="11" t="n">
        <v>110000</v>
      </c>
    </row>
    <row r="13">
      <c r="A13" s="5" t="inlineStr">
        <is>
          <t>Pre-Tax Income (EBT)</t>
        </is>
      </c>
      <c r="B13" s="13">
        <f>B11-B12</f>
        <v/>
      </c>
      <c r="C13" s="13">
        <f>C11-C12</f>
        <v/>
      </c>
      <c r="D13" s="13">
        <f>D11-D12</f>
        <v/>
      </c>
    </row>
    <row r="14">
      <c r="A14" s="5" t="inlineStr">
        <is>
          <t>Income Taxes</t>
        </is>
      </c>
      <c r="B14" s="11" t="n">
        <v>47750</v>
      </c>
      <c r="C14" s="11" t="n">
        <v>67000</v>
      </c>
      <c r="D14" s="11" t="n">
        <v>89000</v>
      </c>
    </row>
    <row r="15">
      <c r="A15" s="4" t="inlineStr">
        <is>
          <t>Net Income</t>
        </is>
      </c>
      <c r="B15" s="14">
        <f>B13-B14</f>
        <v/>
      </c>
      <c r="C15" s="14">
        <f>C13-C14</f>
        <v/>
      </c>
      <c r="D15" s="14">
        <f>D13-D14</f>
        <v/>
      </c>
    </row>
    <row r="17" ht="56" customHeight="1">
      <c r="A17" s="10" t="inlineStr">
        <is>
          <t>Notes:  Gross Profit = Revenue - COGS.  EBITDA = Gross Profit - Operating Expenses (a proxy for cash operating earnings before financing, tax and non-cash D&amp;A). Net Income is the bottom-line accrual profit. Revenue grew ~14% (2024) and ~13% (2025) with stable margins - a positive, consistent trend for an underwriter.</t>
        </is>
      </c>
    </row>
  </sheetData>
  <mergeCells count="3">
    <mergeCell ref="A1:D1"/>
    <mergeCell ref="A17:D17"/>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s>
  <sheetData>
    <row r="1" ht="26" customHeight="1">
      <c r="A1" s="1" t="inlineStr">
        <is>
          <t>Balance Sheet</t>
        </is>
      </c>
    </row>
    <row r="2" ht="18" customHeight="1">
      <c r="A2" s="2" t="inlineStr">
        <is>
          <t>Northstar Equipment Services LLC  |  USD, as of year-end</t>
        </is>
      </c>
    </row>
    <row r="4">
      <c r="A4" s="6" t="inlineStr">
        <is>
          <t>Line Item ($)</t>
        </is>
      </c>
      <c r="B4" s="6" t="inlineStr">
        <is>
          <t>2023</t>
        </is>
      </c>
      <c r="C4" s="6" t="inlineStr">
        <is>
          <t>2024</t>
        </is>
      </c>
      <c r="D4" s="6" t="inlineStr">
        <is>
          <t>2025</t>
        </is>
      </c>
    </row>
    <row r="5">
      <c r="A5" s="3" t="inlineStr">
        <is>
          <t>Assets</t>
        </is>
      </c>
    </row>
    <row r="6">
      <c r="A6" s="5" t="inlineStr">
        <is>
          <t>Cash &amp; Equivalents</t>
        </is>
      </c>
      <c r="B6" s="11" t="n">
        <v>180000</v>
      </c>
      <c r="C6" s="11" t="n">
        <v>240000</v>
      </c>
      <c r="D6" s="11" t="n">
        <v>320000</v>
      </c>
    </row>
    <row r="7">
      <c r="A7" s="5" t="inlineStr">
        <is>
          <t>Accounts Receivable</t>
        </is>
      </c>
      <c r="B7" s="11" t="n">
        <v>430000</v>
      </c>
      <c r="C7" s="11" t="n">
        <v>490000</v>
      </c>
      <c r="D7" s="11" t="n">
        <v>540000</v>
      </c>
    </row>
    <row r="8">
      <c r="A8" s="5" t="inlineStr">
        <is>
          <t>Inventory</t>
        </is>
      </c>
      <c r="B8" s="11" t="n">
        <v>240000</v>
      </c>
      <c r="C8" s="11" t="n">
        <v>260000</v>
      </c>
      <c r="D8" s="11" t="n">
        <v>280000</v>
      </c>
    </row>
    <row r="9">
      <c r="A9" s="4" t="inlineStr">
        <is>
          <t>Total Current Assets</t>
        </is>
      </c>
      <c r="B9" s="12">
        <f>SUM(B6:B8)</f>
        <v/>
      </c>
      <c r="C9" s="12">
        <f>SUM(C6:C8)</f>
        <v/>
      </c>
      <c r="D9" s="12">
        <f>SUM(D6:D8)</f>
        <v/>
      </c>
    </row>
    <row r="10">
      <c r="A10" s="5" t="inlineStr">
        <is>
          <t>Net Fixed Assets (PP&amp;E)</t>
        </is>
      </c>
      <c r="B10" s="11" t="n">
        <v>1350000</v>
      </c>
      <c r="C10" s="11" t="n">
        <v>1500000</v>
      </c>
      <c r="D10" s="11" t="n">
        <v>1650000</v>
      </c>
    </row>
    <row r="11">
      <c r="A11" s="4" t="inlineStr">
        <is>
          <t>Total Assets</t>
        </is>
      </c>
      <c r="B11" s="15">
        <f>B9+B10</f>
        <v/>
      </c>
      <c r="C11" s="15">
        <f>C9+C10</f>
        <v/>
      </c>
      <c r="D11" s="15">
        <f>D9+D10</f>
        <v/>
      </c>
    </row>
    <row r="13">
      <c r="A13" s="3" t="inlineStr">
        <is>
          <t>Liabilities &amp; Equity</t>
        </is>
      </c>
    </row>
    <row r="14">
      <c r="A14" s="5" t="inlineStr">
        <is>
          <t>Accounts Payable</t>
        </is>
      </c>
      <c r="B14" s="11" t="n">
        <v>300000</v>
      </c>
      <c r="C14" s="11" t="n">
        <v>330000</v>
      </c>
      <c r="D14" s="11" t="n">
        <v>360000</v>
      </c>
    </row>
    <row r="15">
      <c r="A15" s="5" t="inlineStr">
        <is>
          <t>Short-Term Debt (incl. CPLTD)</t>
        </is>
      </c>
      <c r="B15" s="11" t="n">
        <v>150000</v>
      </c>
      <c r="C15" s="11" t="n">
        <v>165000</v>
      </c>
      <c r="D15" s="11" t="n">
        <v>180000</v>
      </c>
    </row>
    <row r="16">
      <c r="A16" s="4" t="inlineStr">
        <is>
          <t>Total Current Liabilities</t>
        </is>
      </c>
      <c r="B16" s="12">
        <f>B14+B15</f>
        <v/>
      </c>
      <c r="C16" s="12">
        <f>C14+C15</f>
        <v/>
      </c>
      <c r="D16" s="12">
        <f>D14+D15</f>
        <v/>
      </c>
    </row>
    <row r="17">
      <c r="A17" s="5" t="inlineStr">
        <is>
          <t>Long-Term Debt</t>
        </is>
      </c>
      <c r="B17" s="11" t="n">
        <v>780000</v>
      </c>
      <c r="C17" s="11" t="n">
        <v>820000</v>
      </c>
      <c r="D17" s="11" t="n">
        <v>850000</v>
      </c>
    </row>
    <row r="18">
      <c r="A18" s="4" t="inlineStr">
        <is>
          <t>Total Liabilities</t>
        </is>
      </c>
      <c r="B18" s="12">
        <f>B16+B17</f>
        <v/>
      </c>
      <c r="C18" s="12">
        <f>C16+C17</f>
        <v/>
      </c>
      <c r="D18" s="12">
        <f>D16+D17</f>
        <v/>
      </c>
    </row>
    <row r="19">
      <c r="A19" s="5" t="inlineStr">
        <is>
          <t>Total Equity (members' capital)</t>
        </is>
      </c>
      <c r="B19" s="11" t="n">
        <v>970000</v>
      </c>
      <c r="C19" s="11" t="n">
        <v>1175000</v>
      </c>
      <c r="D19" s="11" t="n">
        <v>1400000</v>
      </c>
    </row>
    <row r="20">
      <c r="A20" s="4" t="inlineStr">
        <is>
          <t>Total Liabilities &amp; Equity</t>
        </is>
      </c>
      <c r="B20" s="15">
        <f>B18+B19</f>
        <v/>
      </c>
      <c r="C20" s="15">
        <f>C18+C19</f>
        <v/>
      </c>
      <c r="D20" s="15">
        <f>D18+D19</f>
        <v/>
      </c>
    </row>
    <row r="21">
      <c r="A21" s="5" t="inlineStr">
        <is>
          <t>Balance Check (TA - TL&amp;E)</t>
        </is>
      </c>
      <c r="B21" s="13">
        <f>B11-B20</f>
        <v/>
      </c>
      <c r="C21" s="13">
        <f>C11-C20</f>
        <v/>
      </c>
      <c r="D21" s="13">
        <f>D11-D20</f>
        <v/>
      </c>
    </row>
    <row r="23" ht="42" customHeight="1">
      <c r="A23" s="10" t="inlineStr">
        <is>
          <t>Notes:  Total Equity is an input from the borrower's financials; the Balance Check row confirms Assets = Liabilities + Equity (should be 0). Short-Term Debt includes the current portion of long-term debt (CPLTD).</t>
        </is>
      </c>
    </row>
  </sheetData>
  <mergeCells count="5">
    <mergeCell ref="A1:D1"/>
    <mergeCell ref="A23:D23"/>
    <mergeCell ref="A5:D5"/>
    <mergeCell ref="A2:D2"/>
    <mergeCell ref="A13:D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52" customWidth="1" min="5" max="5"/>
  </cols>
  <sheetData>
    <row r="1" ht="26" customHeight="1">
      <c r="A1" s="1" t="inlineStr">
        <is>
          <t>Ratio Analysis (Financial Spreading)</t>
        </is>
      </c>
    </row>
    <row r="2" ht="18" customHeight="1">
      <c r="A2" s="2" t="inlineStr">
        <is>
          <t>Trends, profitability, leverage and liquidity</t>
        </is>
      </c>
    </row>
    <row r="4">
      <c r="A4" s="6" t="inlineStr">
        <is>
          <t>Ratio</t>
        </is>
      </c>
      <c r="B4" s="6" t="inlineStr">
        <is>
          <t>2023</t>
        </is>
      </c>
      <c r="C4" s="6" t="inlineStr">
        <is>
          <t>2024</t>
        </is>
      </c>
      <c r="D4" s="6" t="inlineStr">
        <is>
          <t>2025</t>
        </is>
      </c>
      <c r="E4" s="6" t="inlineStr">
        <is>
          <t>What it means (plain English)</t>
        </is>
      </c>
    </row>
    <row r="5">
      <c r="A5" s="4" t="inlineStr">
        <is>
          <t>Revenue Growth %</t>
        </is>
      </c>
      <c r="B5" s="16" t="inlineStr">
        <is>
          <t>n/a</t>
        </is>
      </c>
      <c r="C5" s="17">
        <f>'02 Income Statement'!C5/'02 Income Statement'!B5-1</f>
        <v/>
      </c>
      <c r="D5" s="17">
        <f>'02 Income Statement'!D5/'02 Income Statement'!C5-1</f>
        <v/>
      </c>
      <c r="E5" s="18" t="inlineStr">
        <is>
          <t>Year-over-year sales change. Positive, steady growth signals demand and durability.</t>
        </is>
      </c>
    </row>
    <row r="6">
      <c r="A6" s="4" t="inlineStr">
        <is>
          <t>Gross Margin %</t>
        </is>
      </c>
      <c r="B6" s="17">
        <f>'02 Income Statement'!B7/'02 Income Statement'!B5</f>
        <v/>
      </c>
      <c r="C6" s="17">
        <f>'02 Income Statement'!C7/'02 Income Statement'!C5</f>
        <v/>
      </c>
      <c r="D6" s="17">
        <f>'02 Income Statement'!D7/'02 Income Statement'!D5</f>
        <v/>
      </c>
      <c r="E6" s="18" t="inlineStr">
        <is>
          <t>Profit left after direct job costs. Stable margin = good pricing &amp; cost control.</t>
        </is>
      </c>
    </row>
    <row r="7">
      <c r="A7" s="4" t="inlineStr">
        <is>
          <t>EBITDA Margin %</t>
        </is>
      </c>
      <c r="B7" s="17">
        <f>'02 Income Statement'!B9/'02 Income Statement'!B5</f>
        <v/>
      </c>
      <c r="C7" s="17">
        <f>'02 Income Statement'!C9/'02 Income Statement'!C5</f>
        <v/>
      </c>
      <c r="D7" s="17">
        <f>'02 Income Statement'!D9/'02 Income Statement'!D5</f>
        <v/>
      </c>
      <c r="E7" s="18" t="inlineStr">
        <is>
          <t>Cash operating profitability before financing/tax. Drives debt repayment capacity.</t>
        </is>
      </c>
    </row>
    <row r="8">
      <c r="A8" s="4" t="inlineStr">
        <is>
          <t>Current Ratio</t>
        </is>
      </c>
      <c r="B8" s="19">
        <f>'03 Balance Sheet'!B9/'03 Balance Sheet'!B16</f>
        <v/>
      </c>
      <c r="C8" s="19">
        <f>'03 Balance Sheet'!C9/'03 Balance Sheet'!C16</f>
        <v/>
      </c>
      <c r="D8" s="19">
        <f>'03 Balance Sheet'!D9/'03 Balance Sheet'!D16</f>
        <v/>
      </c>
      <c r="E8" s="18" t="inlineStr">
        <is>
          <t>Current assets / current liabilities. &gt;1.5x = comfortable short-term liquidity.</t>
        </is>
      </c>
    </row>
    <row r="9">
      <c r="A9" s="4" t="inlineStr">
        <is>
          <t>Debt-to-Equity</t>
        </is>
      </c>
      <c r="B9" s="19">
        <f>'03 Balance Sheet'!B18/'03 Balance Sheet'!B19</f>
        <v/>
      </c>
      <c r="C9" s="19">
        <f>'03 Balance Sheet'!C18/'03 Balance Sheet'!C19</f>
        <v/>
      </c>
      <c r="D9" s="19">
        <f>'03 Balance Sheet'!D18/'03 Balance Sheet'!D19</f>
        <v/>
      </c>
      <c r="E9" s="18" t="inlineStr">
        <is>
          <t>Total liabilities / equity. Lower = more owner skin-in-the-game, less leverage.</t>
        </is>
      </c>
    </row>
    <row r="10">
      <c r="A10" s="4" t="inlineStr">
        <is>
          <t>Debt-to-EBITDA</t>
        </is>
      </c>
      <c r="B10" s="19">
        <f>('03 Balance Sheet'!B15+'03 Balance Sheet'!B17)/'02 Income Statement'!B9</f>
        <v/>
      </c>
      <c r="C10" s="19">
        <f>('03 Balance Sheet'!C15+'03 Balance Sheet'!C17)/'02 Income Statement'!C9</f>
        <v/>
      </c>
      <c r="D10" s="19">
        <f>('03 Balance Sheet'!D15+'03 Balance Sheet'!D17)/'02 Income Statement'!D9</f>
        <v/>
      </c>
      <c r="E10" s="18" t="inlineStr">
        <is>
          <t>Interest-bearing debt / EBITDA. Years of cash earnings to repay debt; &lt;3.0x is healthy.</t>
        </is>
      </c>
    </row>
    <row r="11">
      <c r="A11" s="4" t="inlineStr">
        <is>
          <t>Working Capital ($)</t>
        </is>
      </c>
      <c r="B11" s="13">
        <f>'03 Balance Sheet'!B9-'03 Balance Sheet'!B16</f>
        <v/>
      </c>
      <c r="C11" s="13">
        <f>'03 Balance Sheet'!C9-'03 Balance Sheet'!C16</f>
        <v/>
      </c>
      <c r="D11" s="13">
        <f>'03 Balance Sheet'!D9-'03 Balance Sheet'!D16</f>
        <v/>
      </c>
      <c r="E11" s="18" t="inlineStr">
        <is>
          <t>Current assets minus current liabilities. Positive cushion funds day-to-day operations.</t>
        </is>
      </c>
    </row>
    <row r="13" ht="40" customHeight="1">
      <c r="A13" s="10" t="inlineStr">
        <is>
          <t>Underwriter read:  Margins are stable, leverage is modest (D/E ~1.0x, Debt/EBITDA &lt;2x) and liquidity is strong (current ratio &gt;2x). The trend is improving across all three years.</t>
        </is>
      </c>
    </row>
  </sheetData>
  <mergeCells count="3">
    <mergeCell ref="A2:E2"/>
    <mergeCell ref="A1:E1"/>
    <mergeCell ref="A13:E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42" customWidth="1" min="1" max="1"/>
    <col width="15" customWidth="1" min="2" max="2"/>
    <col width="15" customWidth="1" min="3" max="3"/>
    <col width="15" customWidth="1" min="4" max="4"/>
  </cols>
  <sheetData>
    <row r="1" ht="26" customHeight="1">
      <c r="A1" s="1" t="inlineStr">
        <is>
          <t>DSCR Analysis (Repayment Capacity)</t>
        </is>
      </c>
    </row>
    <row r="2" ht="18" customHeight="1">
      <c r="A2" s="2" t="inlineStr">
        <is>
          <t>Cash flow available for debt service vs. debt service</t>
        </is>
      </c>
    </row>
    <row r="4">
      <c r="A4" s="3" t="inlineStr">
        <is>
          <t>Proposed Loan Debt Service</t>
        </is>
      </c>
    </row>
    <row r="5">
      <c r="A5" s="6" t="inlineStr">
        <is>
          <t>Item</t>
        </is>
      </c>
      <c r="B5" s="6" t="inlineStr">
        <is>
          <t>Value</t>
        </is>
      </c>
    </row>
    <row r="6">
      <c r="A6" s="5" t="inlineStr">
        <is>
          <t>Loan Amount</t>
        </is>
      </c>
      <c r="B6" s="20">
        <f>'01 Borrower Overview'!B18</f>
        <v/>
      </c>
    </row>
    <row r="7">
      <c r="A7" s="5" t="inlineStr">
        <is>
          <t>Term (months)</t>
        </is>
      </c>
      <c r="B7" s="21">
        <f>'01 Borrower Overview'!B19</f>
        <v/>
      </c>
    </row>
    <row r="8">
      <c r="A8" s="5" t="inlineStr">
        <is>
          <t>Annual Interest Rate</t>
        </is>
      </c>
      <c r="B8" s="17">
        <f>'01 Borrower Overview'!B20</f>
        <v/>
      </c>
    </row>
    <row r="9">
      <c r="A9" s="5" t="inlineStr">
        <is>
          <t>Monthly Payment (P&amp;I)</t>
        </is>
      </c>
      <c r="B9" s="20">
        <f>PMT('01 Borrower Overview'!B20/12,'01 Borrower Overview'!B19,-'01 Borrower Overview'!B18)</f>
        <v/>
      </c>
    </row>
    <row r="10">
      <c r="A10" s="4" t="inlineStr">
        <is>
          <t>Proposed Annual Debt Service</t>
        </is>
      </c>
      <c r="B10" s="22">
        <f>B9*12</f>
        <v/>
      </c>
    </row>
    <row r="11">
      <c r="A11" s="5" t="inlineStr">
        <is>
          <t>Existing Annual Debt Service (current loans)</t>
        </is>
      </c>
      <c r="B11" s="23" t="n">
        <v>175000</v>
      </c>
    </row>
    <row r="12">
      <c r="A12" s="4" t="inlineStr">
        <is>
          <t>Total (Global) Annual Debt Service</t>
        </is>
      </c>
      <c r="B12" s="22">
        <f>B10+B11</f>
        <v/>
      </c>
    </row>
    <row r="14">
      <c r="A14" s="3" t="inlineStr">
        <is>
          <t>Cash Flow Available for Debt Service (CFADS)</t>
        </is>
      </c>
    </row>
    <row r="15">
      <c r="A15" s="6" t="inlineStr">
        <is>
          <t>Component</t>
        </is>
      </c>
      <c r="B15" s="6" t="inlineStr">
        <is>
          <t>2023</t>
        </is>
      </c>
      <c r="C15" s="6" t="inlineStr">
        <is>
          <t>2024</t>
        </is>
      </c>
      <c r="D15" s="6" t="inlineStr">
        <is>
          <t>2025</t>
        </is>
      </c>
    </row>
    <row r="16">
      <c r="A16" s="5" t="inlineStr">
        <is>
          <t>EBITDA</t>
        </is>
      </c>
      <c r="B16" s="13">
        <f>'02 Income Statement'!B9</f>
        <v/>
      </c>
      <c r="C16" s="13">
        <f>'02 Income Statement'!C9</f>
        <v/>
      </c>
      <c r="D16" s="13">
        <f>'02 Income Statement'!D9</f>
        <v/>
      </c>
    </row>
    <row r="17">
      <c r="A17" s="5" t="inlineStr">
        <is>
          <t>Less: Cash Income Taxes</t>
        </is>
      </c>
      <c r="B17" s="13">
        <f>-'02 Income Statement'!B14</f>
        <v/>
      </c>
      <c r="C17" s="13">
        <f>-'02 Income Statement'!C14</f>
        <v/>
      </c>
      <c r="D17" s="13">
        <f>-'02 Income Statement'!D14</f>
        <v/>
      </c>
    </row>
    <row r="18">
      <c r="A18" s="5" t="inlineStr">
        <is>
          <t>Less: Maintenance Capex (unfinanced)</t>
        </is>
      </c>
      <c r="B18" s="11" t="n">
        <v>-55000</v>
      </c>
      <c r="C18" s="11" t="n">
        <v>-58000</v>
      </c>
      <c r="D18" s="11" t="n">
        <v>-60000</v>
      </c>
    </row>
    <row r="19">
      <c r="A19" s="4" t="inlineStr">
        <is>
          <t>CFADS</t>
        </is>
      </c>
      <c r="B19" s="12">
        <f>SUM(B16:B18)</f>
        <v/>
      </c>
      <c r="C19" s="12">
        <f>SUM(C16:C18)</f>
        <v/>
      </c>
      <c r="D19" s="12">
        <f>SUM(D16:D18)</f>
        <v/>
      </c>
    </row>
    <row r="21">
      <c r="A21" s="3" t="inlineStr">
        <is>
          <t>Debt Service Coverage Ratio (DSCR)</t>
        </is>
      </c>
    </row>
    <row r="22">
      <c r="A22" s="6" t="inlineStr">
        <is>
          <t>Metric</t>
        </is>
      </c>
      <c r="B22" s="6" t="inlineStr">
        <is>
          <t>2023</t>
        </is>
      </c>
      <c r="C22" s="6" t="inlineStr">
        <is>
          <t>2024</t>
        </is>
      </c>
      <c r="D22" s="6" t="inlineStr">
        <is>
          <t>2025</t>
        </is>
      </c>
    </row>
    <row r="23">
      <c r="A23" s="4" t="inlineStr">
        <is>
          <t>Proposed-Loan DSCR  (CFADS / new DS)</t>
        </is>
      </c>
      <c r="B23" s="24">
        <f>B19/$B$10</f>
        <v/>
      </c>
      <c r="C23" s="24">
        <f>C19/$B$10</f>
        <v/>
      </c>
      <c r="D23" s="24">
        <f>D19/$B$10</f>
        <v/>
      </c>
    </row>
    <row r="24">
      <c r="A24" s="4" t="inlineStr">
        <is>
          <t>Global DSCR  (CFADS / total DS)</t>
        </is>
      </c>
      <c r="B24" s="24">
        <f>B19/$B$12</f>
        <v/>
      </c>
      <c r="C24" s="24">
        <f>C19/$B$12</f>
        <v/>
      </c>
      <c r="D24" s="24">
        <f>D19/$B$12</f>
        <v/>
      </c>
    </row>
    <row r="25">
      <c r="A25" s="5" t="inlineStr">
        <is>
          <t>Policy Minimum DSCR</t>
        </is>
      </c>
      <c r="B25" s="25" t="n">
        <v>1.2</v>
      </c>
    </row>
    <row r="26">
      <c r="A26" s="4" t="inlineStr">
        <is>
          <t>Pass / Fail (Global DSCR, 2025)</t>
        </is>
      </c>
      <c r="B26" s="26">
        <f>IF(D24&gt;=B25,"PASS","FAIL")</f>
        <v/>
      </c>
    </row>
    <row r="28" ht="58" customHeight="1">
      <c r="A28" s="10" t="inlineStr">
        <is>
          <t>DSCR = cash flow available for debt service / debt service. It answers: for every $1 of loan payment, how many dollars of cash does the business generate? Banks typically want &gt;=1.20x. CFADS here = EBITDA - cash taxes - unfinanced maintenance capex (a conservative measure). 2025 global DSCR is comfortably above the 1.20x policy floor even with existing debt.</t>
        </is>
      </c>
    </row>
  </sheetData>
  <mergeCells count="6">
    <mergeCell ref="A1:D1"/>
    <mergeCell ref="A4:D4"/>
    <mergeCell ref="A21:D21"/>
    <mergeCell ref="A2:D2"/>
    <mergeCell ref="A28:D28"/>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34" customWidth="1" min="1" max="1"/>
    <col width="16" customWidth="1" min="2" max="2"/>
    <col width="14" customWidth="1" min="3" max="3"/>
    <col width="18" customWidth="1" min="4" max="4"/>
    <col width="30" customWidth="1" min="5" max="5"/>
  </cols>
  <sheetData>
    <row r="1" ht="26" customHeight="1">
      <c r="A1" s="1" t="inlineStr">
        <is>
          <t>Collateral &amp; Loan-to-Value (LTV)</t>
        </is>
      </c>
    </row>
    <row r="2" ht="18" customHeight="1">
      <c r="A2" s="2" t="inlineStr">
        <is>
          <t>Service vehicles &amp; equipment securing the loan</t>
        </is>
      </c>
    </row>
    <row r="4">
      <c r="A4" s="6" t="inlineStr">
        <is>
          <t>Collateral</t>
        </is>
      </c>
      <c r="B4" s="6" t="inlineStr">
        <is>
          <t>Appraised / Cost</t>
        </is>
      </c>
      <c r="C4" s="6" t="inlineStr">
        <is>
          <t>Advance Rate</t>
        </is>
      </c>
      <c r="D4" s="6" t="inlineStr">
        <is>
          <t>Lendable Value</t>
        </is>
      </c>
      <c r="E4" s="6" t="inlineStr">
        <is>
          <t>Basis</t>
        </is>
      </c>
    </row>
    <row r="5">
      <c r="A5" s="5" t="inlineStr">
        <is>
          <t>Service Vehicles (new, purchase-money)</t>
        </is>
      </c>
      <c r="B5" s="23" t="n">
        <v>520000</v>
      </c>
      <c r="C5" s="27" t="n">
        <v>0.8</v>
      </c>
      <c r="D5" s="20">
        <f>B5*C5</f>
        <v/>
      </c>
      <c r="E5" s="18" t="inlineStr">
        <is>
          <t>Titled rolling stock; NADA values</t>
        </is>
      </c>
    </row>
    <row r="6">
      <c r="A6" s="5" t="inlineStr">
        <is>
          <t>Shop / Service Equipment (new)</t>
        </is>
      </c>
      <c r="B6" s="23" t="n">
        <v>315000</v>
      </c>
      <c r="C6" s="27" t="n">
        <v>0.7</v>
      </c>
      <c r="D6" s="20">
        <f>B6*C6</f>
        <v/>
      </c>
      <c r="E6" s="18" t="inlineStr">
        <is>
          <t>New machinery; net orderly liquidation</t>
        </is>
      </c>
    </row>
    <row r="7">
      <c r="A7" s="5" t="inlineStr">
        <is>
          <t>Existing Equipment (additional pledge)</t>
        </is>
      </c>
      <c r="B7" s="23" t="n">
        <v>300000</v>
      </c>
      <c r="C7" s="27" t="n">
        <v>0.6</v>
      </c>
      <c r="D7" s="20">
        <f>B7*C7</f>
        <v/>
      </c>
      <c r="E7" s="18" t="inlineStr">
        <is>
          <t>Used; discounted forced-sale value</t>
        </is>
      </c>
    </row>
    <row r="8">
      <c r="A8" s="4" t="inlineStr">
        <is>
          <t>Total Collateral Value</t>
        </is>
      </c>
      <c r="B8" s="28">
        <f>SUM(B5:B7)</f>
        <v/>
      </c>
      <c r="C8" s="29" t="n"/>
      <c r="D8" s="28">
        <f>SUM(D5:D7)</f>
        <v/>
      </c>
    </row>
    <row r="10">
      <c r="A10" s="3" t="inlineStr">
        <is>
          <t>LTV &amp; Collateral Coverage</t>
        </is>
      </c>
    </row>
    <row r="11">
      <c r="A11" s="6" t="inlineStr">
        <is>
          <t>Metric</t>
        </is>
      </c>
      <c r="B11" s="6" t="inlineStr">
        <is>
          <t>Value</t>
        </is>
      </c>
    </row>
    <row r="12">
      <c r="A12" s="5" t="inlineStr">
        <is>
          <t>Loan Amount</t>
        </is>
      </c>
      <c r="B12" s="20">
        <f>'01 Borrower Overview'!B18</f>
        <v/>
      </c>
    </row>
    <row r="13">
      <c r="A13" s="4" t="inlineStr">
        <is>
          <t>LTV vs. Appraised Value</t>
        </is>
      </c>
      <c r="B13" s="30">
        <f>'01 Borrower Overview'!B18/B8</f>
        <v/>
      </c>
    </row>
    <row r="14">
      <c r="A14" s="4" t="inlineStr">
        <is>
          <t>LTV vs. Lendable (discounted) Value</t>
        </is>
      </c>
      <c r="B14" s="30">
        <f>'01 Borrower Overview'!B18/D8</f>
        <v/>
      </c>
    </row>
    <row r="15">
      <c r="A15" s="4" t="inlineStr">
        <is>
          <t>Collateral Coverage (lendable / loan)</t>
        </is>
      </c>
      <c r="B15" s="24">
        <f>D8/'01 Borrower Overview'!B18</f>
        <v/>
      </c>
    </row>
    <row r="16">
      <c r="A16" s="5" t="inlineStr">
        <is>
          <t>Policy Min. Coverage</t>
        </is>
      </c>
      <c r="B16" s="25" t="n">
        <v>1</v>
      </c>
    </row>
    <row r="17">
      <c r="A17" s="4" t="inlineStr">
        <is>
          <t>Pass / Fail</t>
        </is>
      </c>
      <c r="B17" s="26">
        <f>IF(B15&gt;=B16,"PASS","FAIL")</f>
        <v/>
      </c>
    </row>
    <row r="19" ht="56" customHeight="1">
      <c r="A19" s="10" t="inlineStr">
        <is>
          <t>Advance rate = the % of value a lender will lend against after a liquidation haircut (vehicles hold value better than used equipment). LTV = loan / collateral value; lower is safer. Collateral coverage &gt;=1.0x on lendable value means the bank can expect to recover the loan in a default. Coverage here is adequate but not abundant - secondary, not primary, repayment.</t>
        </is>
      </c>
    </row>
  </sheetData>
  <mergeCells count="4">
    <mergeCell ref="A2:E2"/>
    <mergeCell ref="A10:D10"/>
    <mergeCell ref="A1:E1"/>
    <mergeCell ref="A19:E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26" customWidth="1" min="1" max="1"/>
    <col width="12" customWidth="1" min="2" max="2"/>
    <col width="10" customWidth="1" min="3" max="3"/>
    <col width="14" customWidth="1" min="4" max="4"/>
    <col width="44" customWidth="1" min="5" max="5"/>
  </cols>
  <sheetData>
    <row r="1" ht="26" customHeight="1">
      <c r="A1" s="1" t="inlineStr">
        <is>
          <t>Risk Rating Scorecard</t>
        </is>
      </c>
    </row>
    <row r="2" ht="18" customHeight="1">
      <c r="A2" s="2" t="inlineStr">
        <is>
          <t>Weighted 1 (strong) - 5 (weak); lower is better</t>
        </is>
      </c>
    </row>
    <row r="4">
      <c r="A4" s="6" t="inlineStr">
        <is>
          <t>Risk Factor</t>
        </is>
      </c>
      <c r="B4" s="6" t="inlineStr">
        <is>
          <t>Weight</t>
        </is>
      </c>
      <c r="C4" s="6" t="inlineStr">
        <is>
          <t>Score 1-5</t>
        </is>
      </c>
      <c r="D4" s="6" t="inlineStr">
        <is>
          <t>Weighted</t>
        </is>
      </c>
      <c r="E4" s="6" t="inlineStr">
        <is>
          <t>Rationale</t>
        </is>
      </c>
    </row>
    <row r="5">
      <c r="A5" s="5" t="inlineStr">
        <is>
          <t>Repayment Capacity (DSCR)</t>
        </is>
      </c>
      <c r="B5" s="27" t="n">
        <v>0.25</v>
      </c>
      <c r="C5" s="31" t="n">
        <v>2</v>
      </c>
      <c r="D5" s="32">
        <f>B5*C5</f>
        <v/>
      </c>
      <c r="E5" s="18" t="inlineStr">
        <is>
          <t>Global DSCR ~1.3x, proposed-loan DSCR &gt;2.5x; healthy cushion.</t>
        </is>
      </c>
    </row>
    <row r="6">
      <c r="A6" s="5" t="inlineStr">
        <is>
          <t>Leverage</t>
        </is>
      </c>
      <c r="B6" s="27" t="n">
        <v>0.15</v>
      </c>
      <c r="C6" s="31" t="n">
        <v>3</v>
      </c>
      <c r="D6" s="32">
        <f>B6*C6</f>
        <v/>
      </c>
      <c r="E6" s="18" t="inlineStr">
        <is>
          <t>D/E ~1.0x and Debt/EBITDA &lt;2x - moderate, in line with industry.</t>
        </is>
      </c>
    </row>
    <row r="7">
      <c r="A7" s="5" t="inlineStr">
        <is>
          <t>Liquidity</t>
        </is>
      </c>
      <c r="B7" s="27" t="n">
        <v>0.1</v>
      </c>
      <c r="C7" s="31" t="n">
        <v>2</v>
      </c>
      <c r="D7" s="32">
        <f>B7*C7</f>
        <v/>
      </c>
      <c r="E7" s="18" t="inlineStr">
        <is>
          <t>Current ratio &gt;2x; positive and growing working capital.</t>
        </is>
      </c>
    </row>
    <row r="8">
      <c r="A8" s="5" t="inlineStr">
        <is>
          <t>Collateral Coverage</t>
        </is>
      </c>
      <c r="B8" s="27" t="n">
        <v>0.15</v>
      </c>
      <c r="C8" s="31" t="n">
        <v>3</v>
      </c>
      <c r="D8" s="32">
        <f>B8*C8</f>
        <v/>
      </c>
      <c r="E8" s="18" t="inlineStr">
        <is>
          <t>~1.05x lendable coverage; adequate but not strong; depreciating assets.</t>
        </is>
      </c>
    </row>
    <row r="9">
      <c r="A9" s="5" t="inlineStr">
        <is>
          <t>Management</t>
        </is>
      </c>
      <c r="B9" s="27" t="n">
        <v>0.1</v>
      </c>
      <c r="C9" s="31" t="n">
        <v>3</v>
      </c>
      <c r="D9" s="32">
        <f>B9*C9</f>
        <v/>
      </c>
      <c r="E9" s="18" t="inlineStr">
        <is>
          <t>Experienced operator but new, unseasoned banking relationship.</t>
        </is>
      </c>
    </row>
    <row r="10">
      <c r="A10" s="5" t="inlineStr">
        <is>
          <t>Industry Risk</t>
        </is>
      </c>
      <c r="B10" s="27" t="n">
        <v>0.1</v>
      </c>
      <c r="C10" s="31" t="n">
        <v>3</v>
      </c>
      <c r="D10" s="32">
        <f>B10*C10</f>
        <v/>
      </c>
      <c r="E10" s="18" t="inlineStr">
        <is>
          <t>Equipment repair is cyclical/competitive but demand is non-discretionary.</t>
        </is>
      </c>
    </row>
    <row r="11">
      <c r="A11" s="5" t="inlineStr">
        <is>
          <t>Financial Trends</t>
        </is>
      </c>
      <c r="B11" s="27" t="n">
        <v>0.15</v>
      </c>
      <c r="C11" s="31" t="n">
        <v>2</v>
      </c>
      <c r="D11" s="32">
        <f>B11*C11</f>
        <v/>
      </c>
      <c r="E11" s="18" t="inlineStr">
        <is>
          <t>Three years of revenue growth with stable margins and rising equity.</t>
        </is>
      </c>
    </row>
    <row r="12">
      <c r="A12" s="4" t="inlineStr">
        <is>
          <t>Weighted Composite Score</t>
        </is>
      </c>
      <c r="B12" s="30">
        <f>SUM(B5:B11)</f>
        <v/>
      </c>
      <c r="C12" s="29" t="n"/>
      <c r="D12" s="33">
        <f>SUM(D5:D11)</f>
        <v/>
      </c>
    </row>
    <row r="13">
      <c r="A13" s="4" t="inlineStr">
        <is>
          <t>Risk Grade (1-7 scale)</t>
        </is>
      </c>
      <c r="D13" s="26">
        <f>IF(D12&lt;=1.5,"2 - Strong",IF(D12&lt;=2.5,"4 - Satisfactory",IF(D12&lt;=3.5,"5 - Acceptable / Watch",IF(D12&lt;=4.2,"6 - Special Mention","7 - Substandard"))))</f>
        <v/>
      </c>
    </row>
    <row r="15" ht="44" customHeight="1">
      <c r="A15" s="10" t="inlineStr">
        <is>
          <t>Each factor is scored 1 (strong) to 5 (weak) and multiplied by its weight; the weighted scores sum to a composite that maps to an internal risk grade. A composite around 2.5 lands in the low end of 'Acceptable' - a pass grade that typically supports approval with conditions.</t>
        </is>
      </c>
    </row>
  </sheetData>
  <mergeCells count="3">
    <mergeCell ref="A2:E2"/>
    <mergeCell ref="A15:E15"/>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5"/>
  <sheetViews>
    <sheetView showGridLines="0" workbookViewId="0">
      <selection activeCell="A1" sqref="A1"/>
    </sheetView>
  </sheetViews>
  <sheetFormatPr baseColWidth="8" defaultRowHeight="15"/>
  <cols>
    <col width="22" customWidth="1" min="1" max="1"/>
    <col width="100" customWidth="1" min="2" max="2"/>
  </cols>
  <sheetData>
    <row r="1" ht="26" customHeight="1">
      <c r="A1" s="1" t="inlineStr">
        <is>
          <t>Credit Memo &amp; Recommendation</t>
        </is>
      </c>
    </row>
    <row r="2" ht="18" customHeight="1">
      <c r="A2" s="2" t="inlineStr">
        <is>
          <t>Northstar Equipment Services LLC  |  $750,000 Term Loan</t>
        </is>
      </c>
    </row>
    <row r="4">
      <c r="A4" s="3" t="inlineStr">
        <is>
          <t>Recommendation</t>
        </is>
      </c>
    </row>
    <row r="5">
      <c r="A5" s="4" t="inlineStr">
        <is>
          <t>Decision</t>
        </is>
      </c>
      <c r="B5" s="34" t="inlineStr">
        <is>
          <t>APPROVE WITH CONDITIONS</t>
        </is>
      </c>
    </row>
    <row r="6">
      <c r="A6" s="4" t="inlineStr">
        <is>
          <t>Risk Grade</t>
        </is>
      </c>
      <c r="B6" s="35">
        <f>'07 Risk Rating'!D13</f>
        <v/>
      </c>
    </row>
    <row r="7">
      <c r="A7" s="4" t="inlineStr">
        <is>
          <t>2025 Global DSCR</t>
        </is>
      </c>
      <c r="B7" s="36">
        <f>'05 DSCR Analysis'!D24</f>
        <v/>
      </c>
    </row>
    <row r="8">
      <c r="A8" s="4" t="inlineStr">
        <is>
          <t>Collateral Coverage</t>
        </is>
      </c>
      <c r="B8" s="36">
        <f>'06 Collateral LTV'!B15</f>
        <v/>
      </c>
    </row>
    <row r="10">
      <c r="A10" s="3" t="inlineStr">
        <is>
          <t>Summary</t>
        </is>
      </c>
    </row>
    <row r="11" ht="30" customHeight="1">
      <c r="B11" s="37" t="inlineStr">
        <is>
          <t>•  Northstar Equipment Services LLC requests a $750,000, 60-month term loan at 8.25% to purchase service vehicles and shop equipment, with a $85,000 owner equity injection.</t>
        </is>
      </c>
    </row>
    <row r="12" ht="30" customHeight="1">
      <c r="B12" s="37" t="inlineStr">
        <is>
          <t>•  The company shows three years of steady revenue growth (~$4.2M to $5.4M), stable ~39% gross margins, modest leverage, and strong liquidity. Cash flow comfortably covers the new debt.</t>
        </is>
      </c>
    </row>
    <row r="14">
      <c r="A14" s="3" t="inlineStr">
        <is>
          <t>Strengths</t>
        </is>
      </c>
    </row>
    <row r="15" ht="30" customHeight="1">
      <c r="B15" s="37" t="inlineStr">
        <is>
          <t>•  Consistent revenue growth and stable margins across 2023-2025.</t>
        </is>
      </c>
    </row>
    <row r="16" ht="30" customHeight="1">
      <c r="B16" s="37" t="inlineStr">
        <is>
          <t>•  Strong repayment capacity: proposed-loan DSCR &gt;2.5x and global DSCR ~1.3x, above the 1.20x floor.</t>
        </is>
      </c>
    </row>
    <row r="17" ht="30" customHeight="1">
      <c r="B17" s="37" t="inlineStr">
        <is>
          <t>•  Modest leverage (Debt/EBITDA &lt;2x, D/E ~1.0x) and healthy liquidity (current ratio &gt;2x).</t>
        </is>
      </c>
    </row>
    <row r="18" ht="30" customHeight="1">
      <c r="B18" s="37" t="inlineStr">
        <is>
          <t>•  Loan is purchase-money secured by titled vehicles and equipment, plus a personal guarantee.</t>
        </is>
      </c>
    </row>
    <row r="19" ht="30" customHeight="1">
      <c r="B19" s="37" t="inlineStr">
        <is>
          <t>•  Owner contributes equity (skin in the game), reducing effective LTV.</t>
        </is>
      </c>
    </row>
    <row r="21">
      <c r="A21" s="3" t="inlineStr">
        <is>
          <t>Weaknesses</t>
        </is>
      </c>
    </row>
    <row r="22" ht="30" customHeight="1">
      <c r="B22" s="37" t="inlineStr">
        <is>
          <t>•  New banking relationship with no prior repayment history at this institution.</t>
        </is>
      </c>
    </row>
    <row r="23" ht="30" customHeight="1">
      <c r="B23" s="37" t="inlineStr">
        <is>
          <t>•  Collateral is depreciating; lendable coverage (~1.05x) is adequate but not abundant.</t>
        </is>
      </c>
    </row>
    <row r="24" ht="30" customHeight="1">
      <c r="B24" s="37" t="inlineStr">
        <is>
          <t>•  Single-owner dependency (key-person risk); LLC financials likely company-prepared/reviewed.</t>
        </is>
      </c>
    </row>
    <row r="26">
      <c r="A26" s="3" t="inlineStr">
        <is>
          <t>Key Risks</t>
        </is>
      </c>
    </row>
    <row r="27" ht="30" customHeight="1">
      <c r="B27" s="37" t="inlineStr">
        <is>
          <t>•  Cyclicality: a downturn in customers' capital spending could compress repair volumes/revenue.</t>
        </is>
      </c>
    </row>
    <row r="28" ht="30" customHeight="1">
      <c r="B28" s="37" t="inlineStr">
        <is>
          <t>•  Asset depreciation could outpace loan amortization, weakening collateral coverage over time.</t>
        </is>
      </c>
    </row>
    <row r="29" ht="30" customHeight="1">
      <c r="B29" s="37" t="inlineStr">
        <is>
          <t>•  Margin/customer concentration risk not fully visible from summary financials.</t>
        </is>
      </c>
    </row>
    <row r="31">
      <c r="A31" s="3" t="inlineStr">
        <is>
          <t>Mitigants</t>
        </is>
      </c>
    </row>
    <row r="32" ht="30" customHeight="1">
      <c r="B32" s="37" t="inlineStr">
        <is>
          <t>•  Conservative DSCR (after maintenance capex) leaves cushion against a revenue decline.</t>
        </is>
      </c>
    </row>
    <row r="33" ht="30" customHeight="1">
      <c r="B33" s="37" t="inlineStr">
        <is>
          <t>•  Purchase-money lien on financed assets + additional equipment pledge and personal guarantee.</t>
        </is>
      </c>
    </row>
    <row r="34" ht="30" customHeight="1">
      <c r="B34" s="37" t="inlineStr">
        <is>
          <t>•  Non-discretionary nature of equipment repair supports demand resilience through cycles.</t>
        </is>
      </c>
    </row>
    <row r="35" ht="30" customHeight="1">
      <c r="B35" s="37" t="inlineStr">
        <is>
          <t>•  Equity injection and amortizing structure de-risk the bank's exposure over the term.</t>
        </is>
      </c>
    </row>
    <row r="37">
      <c r="A37" s="3" t="inlineStr">
        <is>
          <t>Approval Conditions</t>
        </is>
      </c>
    </row>
    <row r="38" ht="30" customHeight="1">
      <c r="B38" s="37" t="inlineStr">
        <is>
          <t>•  First-priority (purchase-money) lien on all financed vehicles and equipment; UCC-1 filed.</t>
        </is>
      </c>
    </row>
    <row r="39" ht="30" customHeight="1">
      <c r="B39" s="37" t="inlineStr">
        <is>
          <t>•  Unlimited personal guarantee of the majority owner.</t>
        </is>
      </c>
    </row>
    <row r="40" ht="30" customHeight="1">
      <c r="B40" s="37" t="inlineStr">
        <is>
          <t>•  Minimum equity injection of $85,000 verified at closing.</t>
        </is>
      </c>
    </row>
    <row r="41" ht="30" customHeight="1">
      <c r="B41" s="37" t="inlineStr">
        <is>
          <t>•  Financial covenants: maintain global DSCR &gt;=1.20x and Debt/EBITDA &lt;=3.5x, tested annually.</t>
        </is>
      </c>
    </row>
    <row r="42" ht="30" customHeight="1">
      <c r="B42" s="37" t="inlineStr">
        <is>
          <t>•  Annual CPA-reviewed financial statements and interim statements upon request.</t>
        </is>
      </c>
    </row>
    <row r="43" ht="30" customHeight="1">
      <c r="B43" s="37" t="inlineStr">
        <is>
          <t>•  Proof of insurance on collateral with bank named as loss payee.</t>
        </is>
      </c>
    </row>
    <row r="45" ht="30" customHeight="1">
      <c r="A45" s="10" t="inlineStr">
        <is>
          <t>This memo is the underwriter's written recommendation. The decision, risk grade and key metrics above pull live from the model tabs, so changing an assumption updates the memo.</t>
        </is>
      </c>
    </row>
  </sheetData>
  <mergeCells count="10">
    <mergeCell ref="A4:B4"/>
    <mergeCell ref="A26:B26"/>
    <mergeCell ref="A21:B21"/>
    <mergeCell ref="A2:B2"/>
    <mergeCell ref="A10:B10"/>
    <mergeCell ref="A45:B45"/>
    <mergeCell ref="A37:B37"/>
    <mergeCell ref="A14:B14"/>
    <mergeCell ref="A1:B1"/>
    <mergeCell ref="A31:B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38" customWidth="1" min="1" max="1"/>
    <col width="15" customWidth="1" min="2" max="2"/>
    <col width="15" customWidth="1" min="3" max="3"/>
    <col width="15" customWidth="1" min="4" max="4"/>
    <col width="40" customWidth="1" min="5" max="5"/>
  </cols>
  <sheetData>
    <row r="1" ht="26" customHeight="1">
      <c r="A1" s="1" t="inlineStr">
        <is>
          <t>Sensitivity / Downside Scenario Analysis</t>
        </is>
      </c>
    </row>
    <row r="2" ht="18" customHeight="1">
      <c r="A2" s="2" t="inlineStr">
        <is>
          <t>How does the credit hold up if performance weakens?</t>
        </is>
      </c>
    </row>
    <row r="4">
      <c r="A4" s="3" t="inlineStr">
        <is>
          <t>Scenario Stress Drivers  (blue = inputs)</t>
        </is>
      </c>
    </row>
    <row r="5">
      <c r="A5" s="6" t="inlineStr">
        <is>
          <t>Assumption</t>
        </is>
      </c>
      <c r="B5" s="6" t="inlineStr">
        <is>
          <t>Base Case</t>
        </is>
      </c>
      <c r="C5" s="6" t="inlineStr">
        <is>
          <t>Downside</t>
        </is>
      </c>
      <c r="D5" s="6" t="inlineStr">
        <is>
          <t>Stress</t>
        </is>
      </c>
      <c r="E5" s="6" t="inlineStr">
        <is>
          <t>Comment</t>
        </is>
      </c>
    </row>
    <row r="6">
      <c r="A6" s="5" t="inlineStr">
        <is>
          <t>Revenue Decline vs. 2025</t>
        </is>
      </c>
      <c r="B6" s="27" t="n">
        <v>0</v>
      </c>
      <c r="C6" s="27" t="n">
        <v>0.07000000000000001</v>
      </c>
      <c r="D6" s="27" t="n">
        <v>0.15</v>
      </c>
      <c r="E6" s="18" t="inlineStr">
        <is>
          <t>Lower repair volumes / lost customers</t>
        </is>
      </c>
    </row>
    <row r="7">
      <c r="A7" s="5" t="inlineStr">
        <is>
          <t>EBITDA Margin Compression (pts)</t>
        </is>
      </c>
      <c r="B7" s="27" t="n">
        <v>0</v>
      </c>
      <c r="C7" s="27" t="n">
        <v>0.01</v>
      </c>
      <c r="D7" s="27" t="n">
        <v>0.03</v>
      </c>
      <c r="E7" s="18" t="inlineStr">
        <is>
          <t>Pricing pressure, wage/parts inflation</t>
        </is>
      </c>
    </row>
    <row r="8">
      <c r="A8" s="5" t="inlineStr">
        <is>
          <t>Additional Operating Expenses ($)</t>
        </is>
      </c>
      <c r="B8" s="23" t="n">
        <v>0</v>
      </c>
      <c r="C8" s="23" t="n">
        <v>20000</v>
      </c>
      <c r="D8" s="23" t="n">
        <v>50000</v>
      </c>
      <c r="E8" s="18" t="inlineStr">
        <is>
          <t>Fuel, insurance, repairs above plan</t>
        </is>
      </c>
    </row>
    <row r="10">
      <c r="A10" s="3" t="inlineStr">
        <is>
          <t>Shared Model Inputs  (pulled live from other tabs)</t>
        </is>
      </c>
    </row>
    <row r="11">
      <c r="A11" s="6" t="inlineStr">
        <is>
          <t>Input</t>
        </is>
      </c>
      <c r="B11" s="6" t="inlineStr">
        <is>
          <t>Value</t>
        </is>
      </c>
    </row>
    <row r="12">
      <c r="A12" s="5" t="inlineStr">
        <is>
          <t>2025 Base Revenue</t>
        </is>
      </c>
      <c r="B12" s="20">
        <f>'02 Income Statement'!D5</f>
        <v/>
      </c>
    </row>
    <row r="13">
      <c r="A13" s="5" t="inlineStr">
        <is>
          <t>2025 Base EBITDA Margin</t>
        </is>
      </c>
      <c r="B13" s="17">
        <f>'02 Income Statement'!D9/'02 Income Statement'!D5</f>
        <v/>
      </c>
    </row>
    <row r="14">
      <c r="A14" s="5" t="inlineStr">
        <is>
          <t>Depreciation &amp; Amortization</t>
        </is>
      </c>
      <c r="B14" s="20">
        <f>'02 Income Statement'!D10</f>
        <v/>
      </c>
    </row>
    <row r="15">
      <c r="A15" s="5" t="inlineStr">
        <is>
          <t>Interest Expense</t>
        </is>
      </c>
      <c r="B15" s="20">
        <f>'02 Income Statement'!D12</f>
        <v/>
      </c>
    </row>
    <row r="16">
      <c r="A16" s="5" t="inlineStr">
        <is>
          <t>Effective Tax Rate</t>
        </is>
      </c>
      <c r="B16" s="27" t="n">
        <v>0.25</v>
      </c>
    </row>
    <row r="17">
      <c r="A17" s="5" t="inlineStr">
        <is>
          <t>Maintenance Capex (unfinanced)</t>
        </is>
      </c>
      <c r="B17" s="23" t="n">
        <v>60000</v>
      </c>
    </row>
    <row r="18">
      <c r="A18" s="5" t="inlineStr">
        <is>
          <t>Total Annual Debt Service</t>
        </is>
      </c>
      <c r="B18" s="20">
        <f>'05 DSCR Analysis'!B12</f>
        <v/>
      </c>
    </row>
    <row r="19">
      <c r="A19" s="5" t="inlineStr">
        <is>
          <t>DSCR Covenant Minimum</t>
        </is>
      </c>
      <c r="B19" s="19">
        <f>'05 DSCR Analysis'!B25</f>
        <v/>
      </c>
    </row>
    <row r="21">
      <c r="A21" s="3" t="inlineStr">
        <is>
          <t>Scenario Results  (recalculated CFADS &amp; DSCR)</t>
        </is>
      </c>
    </row>
    <row r="22">
      <c r="A22" s="6" t="inlineStr">
        <is>
          <t>Metric</t>
        </is>
      </c>
      <c r="B22" s="6" t="inlineStr">
        <is>
          <t>Base Case</t>
        </is>
      </c>
      <c r="C22" s="6" t="inlineStr">
        <is>
          <t>Downside</t>
        </is>
      </c>
      <c r="D22" s="6" t="inlineStr">
        <is>
          <t>Stress</t>
        </is>
      </c>
      <c r="E22" s="6" t="inlineStr"/>
    </row>
    <row r="23">
      <c r="A23" s="5" t="inlineStr">
        <is>
          <t>Stressed Revenue</t>
        </is>
      </c>
      <c r="B23" s="20">
        <f>$B$12*(1-B6)</f>
        <v/>
      </c>
      <c r="C23" s="20">
        <f>$B$12*(1-C6)</f>
        <v/>
      </c>
      <c r="D23" s="20">
        <f>$B$12*(1-D6)</f>
        <v/>
      </c>
    </row>
    <row r="24">
      <c r="A24" s="5" t="inlineStr">
        <is>
          <t>Stressed EBITDA Margin</t>
        </is>
      </c>
      <c r="B24" s="17">
        <f>$B$13-B7</f>
        <v/>
      </c>
      <c r="C24" s="17">
        <f>$B$13-C7</f>
        <v/>
      </c>
      <c r="D24" s="17">
        <f>$B$13-D7</f>
        <v/>
      </c>
    </row>
    <row r="25">
      <c r="A25" s="5" t="inlineStr">
        <is>
          <t>EBITDA before extra OpEx</t>
        </is>
      </c>
      <c r="B25" s="13">
        <f>B23*B24</f>
        <v/>
      </c>
      <c r="C25" s="13">
        <f>C23*C24</f>
        <v/>
      </c>
      <c r="D25" s="13">
        <f>D23*D24</f>
        <v/>
      </c>
    </row>
    <row r="26">
      <c r="A26" s="5" t="inlineStr">
        <is>
          <t>Less: Additional OpEx</t>
        </is>
      </c>
      <c r="B26" s="13">
        <f>-B8</f>
        <v/>
      </c>
      <c r="C26" s="13">
        <f>-C8</f>
        <v/>
      </c>
      <c r="D26" s="13">
        <f>-D8</f>
        <v/>
      </c>
    </row>
    <row r="27">
      <c r="A27" s="4" t="inlineStr">
        <is>
          <t>Stressed EBITDA</t>
        </is>
      </c>
      <c r="B27" s="12">
        <f>B25+B26</f>
        <v/>
      </c>
      <c r="C27" s="12">
        <f>C25+C26</f>
        <v/>
      </c>
      <c r="D27" s="12">
        <f>D25+D26</f>
        <v/>
      </c>
    </row>
    <row r="28">
      <c r="A28" s="5" t="inlineStr">
        <is>
          <t>Less: Cash Taxes</t>
        </is>
      </c>
      <c r="B28" s="13">
        <f>-MAX(0,$B$16*(B27-$B$14-$B$15))</f>
        <v/>
      </c>
      <c r="C28" s="13">
        <f>-MAX(0,$B$16*(C27-$B$14-$B$15))</f>
        <v/>
      </c>
      <c r="D28" s="13">
        <f>-MAX(0,$B$16*(D27-$B$14-$B$15))</f>
        <v/>
      </c>
    </row>
    <row r="29">
      <c r="A29" s="5" t="inlineStr">
        <is>
          <t>Less: Maintenance Capex</t>
        </is>
      </c>
      <c r="B29" s="13">
        <f>-$B$17</f>
        <v/>
      </c>
      <c r="C29" s="13">
        <f>-$B$17</f>
        <v/>
      </c>
      <c r="D29" s="13">
        <f>-$B$17</f>
        <v/>
      </c>
    </row>
    <row r="30">
      <c r="A30" s="4" t="inlineStr">
        <is>
          <t>CFADS (stressed)</t>
        </is>
      </c>
      <c r="B30" s="12">
        <f>B27+B28+B29</f>
        <v/>
      </c>
      <c r="C30" s="12">
        <f>C27+C28+C29</f>
        <v/>
      </c>
      <c r="D30" s="12">
        <f>D27+D28+D29</f>
        <v/>
      </c>
    </row>
    <row r="31">
      <c r="A31" s="4" t="inlineStr">
        <is>
          <t>Global DSCR</t>
        </is>
      </c>
      <c r="B31" s="38">
        <f>B30/$B$18</f>
        <v/>
      </c>
      <c r="C31" s="38">
        <f>C30/$B$18</f>
        <v/>
      </c>
      <c r="D31" s="38">
        <f>D30/$B$18</f>
        <v/>
      </c>
    </row>
    <row r="33">
      <c r="A33" s="3" t="inlineStr">
        <is>
          <t>Pass / Fail Tests</t>
        </is>
      </c>
    </row>
    <row r="34">
      <c r="A34" s="6" t="inlineStr">
        <is>
          <t>Test</t>
        </is>
      </c>
      <c r="B34" s="6" t="inlineStr">
        <is>
          <t>Base Case</t>
        </is>
      </c>
      <c r="C34" s="6" t="inlineStr">
        <is>
          <t>Downside</t>
        </is>
      </c>
      <c r="D34" s="6" t="inlineStr">
        <is>
          <t>Stress</t>
        </is>
      </c>
      <c r="E34" s="6" t="inlineStr">
        <is>
          <t>Meaning</t>
        </is>
      </c>
    </row>
    <row r="35">
      <c r="A35" s="4" t="inlineStr">
        <is>
          <t>DSCR Covenant Test (&gt;= 1.20x)</t>
        </is>
      </c>
      <c r="B35" s="39">
        <f>IF(B31&gt;=$B$19,"PASS","FAIL")</f>
        <v/>
      </c>
      <c r="C35" s="39">
        <f>IF(C31&gt;=$B$19,"PASS","FAIL")</f>
        <v/>
      </c>
      <c r="D35" s="39">
        <f>IF(D31&gt;=$B$19,"PASS","FAIL")</f>
        <v/>
      </c>
      <c r="E35" s="18" t="inlineStr">
        <is>
          <t>Meets the loan's DSCR covenant</t>
        </is>
      </c>
    </row>
    <row r="36">
      <c r="A36" s="4" t="inlineStr">
        <is>
          <t>Cash Coverage Test (&gt;= 1.00x)</t>
        </is>
      </c>
      <c r="B36" s="39">
        <f>IF(B31&gt;=1,"PASS","FAIL")</f>
        <v/>
      </c>
      <c r="C36" s="39">
        <f>IF(C31&gt;=1,"PASS","FAIL")</f>
        <v/>
      </c>
      <c r="D36" s="39">
        <f>IF(D31&gt;=1,"PASS","FAIL")</f>
        <v/>
      </c>
      <c r="E36" s="18" t="inlineStr">
        <is>
          <t>Cash flow still fully covers debt service</t>
        </is>
      </c>
    </row>
    <row r="38" ht="86" customHeight="1">
      <c r="A38" s="10" t="inlineStr">
        <is>
          <t>Why this matters:  Underwriters never lend on the base case alone. Sensitivity (downside) analysis stresses the borrower's revenue and margins to find the breaking point and confirm the loan still services - or to size the cushion if it does not. Here the Base Case clears the 1.20x covenant; a moderate Downside breaches the covenant but cash flow still covers debt service (DSCR &gt; 1.0x); the severe Stress case fails both - the credit would then rely on collateral and the personal guarantee. This is exactly why the deal is 'Approve WITH conditions' (DSCR covenant, equity injection, collateral, guarantee) rather than an unconditional approval.</t>
        </is>
      </c>
    </row>
  </sheetData>
  <mergeCells count="7">
    <mergeCell ref="A21:E21"/>
    <mergeCell ref="A4:E4"/>
    <mergeCell ref="A38:E38"/>
    <mergeCell ref="A2:E2"/>
    <mergeCell ref="A10:E10"/>
    <mergeCell ref="A33:E33"/>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2026-06-25T19:58:43Z</dcterms:created>
  <dcterms:modified xsi:type="dcterms:W3CDTF">2026-06-25T19:58:43Z</dcterms:modified>
</cp:coreProperties>
</file>