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Borrower Overview" sheetId="1" state="visible" r:id="rId1"/>
    <sheet name="02 Income Statement" sheetId="2" state="visible" r:id="rId2"/>
    <sheet name="03 Balance Sheet" sheetId="3" state="visible" r:id="rId3"/>
    <sheet name="04 Ratio Analysis" sheetId="4" state="visible" r:id="rId4"/>
    <sheet name="05 DSCR Analysis" sheetId="5" state="visible" r:id="rId5"/>
    <sheet name="06 Collateral LTV" sheetId="6" state="visible" r:id="rId6"/>
    <sheet name="07 Risk Rating" sheetId="7" state="visible" r:id="rId7"/>
    <sheet name="08 Credit Mem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"/>
    <numFmt numFmtId="165" formatCode="0.0%"/>
    <numFmt numFmtId="166" formatCode="#,##0;(#,##0)"/>
    <numFmt numFmtId="167" formatCode="0.00&quot;x&quot;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1"/>
    </font>
    <font>
      <b val="1"/>
      <color rgb="00000000"/>
    </font>
    <font>
      <color rgb="00000000"/>
    </font>
    <font>
      <b val="1"/>
      <color rgb="00FFFFFF"/>
    </font>
    <font>
      <b val="1"/>
      <color rgb="000000FF"/>
    </font>
    <font>
      <i val="1"/>
      <color rgb="00595959"/>
      <sz val="9"/>
    </font>
    <font>
      <color rgb="000000FF"/>
    </font>
    <font>
      <b val="1"/>
      <color rgb="00006100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1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166" fontId="9" fillId="0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49" fontId="4" fillId="5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0" fillId="0" borderId="1" pivotButton="0" quotePrefix="0" xfId="0"/>
    <xf numFmtId="165" fontId="4" fillId="0" borderId="1" applyAlignment="1" pivotButton="0" quotePrefix="0" xfId="0">
      <alignment horizontal="right" vertical="center"/>
    </xf>
    <xf numFmtId="1" fontId="9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right" vertical="center"/>
    </xf>
    <xf numFmtId="0" fontId="10" fillId="5" borderId="0" applyAlignment="1" pivotButton="0" quotePrefix="0" xfId="0">
      <alignment horizontal="left" vertical="center" wrapText="1"/>
    </xf>
    <xf numFmtId="49" fontId="4" fillId="0" borderId="1" applyAlignment="1" pivotButton="0" quotePrefix="0" xfId="0">
      <alignment horizontal="left" vertical="center" wrapText="1"/>
    </xf>
    <xf numFmtId="167" fontId="4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6" customWidth="1" min="3" max="3"/>
    <col width="16" customWidth="1" min="4" max="4"/>
  </cols>
  <sheetData>
    <row r="1" ht="26" customHeight="1">
      <c r="A1" s="1" t="inlineStr">
        <is>
          <t>Commercial Credit Underwriting Model</t>
        </is>
      </c>
    </row>
    <row r="2" ht="18" customHeight="1">
      <c r="A2" s="2" t="inlineStr">
        <is>
          <t>Northstar Equipment Services LLC  |  $750,000 Term Loan</t>
        </is>
      </c>
    </row>
    <row r="4">
      <c r="A4" s="3" t="inlineStr">
        <is>
          <t>Borrower &amp; Request Summary</t>
        </is>
      </c>
    </row>
    <row r="5">
      <c r="A5" s="4" t="inlineStr">
        <is>
          <t>Borrower</t>
        </is>
      </c>
      <c r="B5" s="5" t="inlineStr">
        <is>
          <t>Northstar Equipment Services LLC</t>
        </is>
      </c>
    </row>
    <row r="6">
      <c r="A6" s="4" t="inlineStr">
        <is>
          <t>Entity Type</t>
        </is>
      </c>
      <c r="B6" s="5" t="inlineStr">
        <is>
          <t>Limited Liability Company (LLC)</t>
        </is>
      </c>
    </row>
    <row r="7">
      <c r="A7" s="4" t="inlineStr">
        <is>
          <t>Industry</t>
        </is>
      </c>
      <c r="B7" s="5" t="inlineStr">
        <is>
          <t>Commercial equipment repair &amp; maintenance</t>
        </is>
      </c>
    </row>
    <row r="8">
      <c r="A8" s="4" t="inlineStr">
        <is>
          <t>Relationship</t>
        </is>
      </c>
      <c r="B8" s="5" t="inlineStr">
        <is>
          <t>New borrower (no prior bank history)</t>
        </is>
      </c>
    </row>
    <row r="9">
      <c r="A9" s="4" t="inlineStr">
        <is>
          <t>Loan Request</t>
        </is>
      </c>
      <c r="B9" s="5" t="inlineStr">
        <is>
          <t>$750,000 senior secured term loan</t>
        </is>
      </c>
    </row>
    <row r="10">
      <c r="A10" s="4" t="inlineStr">
        <is>
          <t>Purpose</t>
        </is>
      </c>
      <c r="B10" s="5" t="inlineStr">
        <is>
          <t>Purchase service vehicles and shop equipment</t>
        </is>
      </c>
    </row>
    <row r="11">
      <c r="A11" s="4" t="inlineStr">
        <is>
          <t>Repayment Source</t>
        </is>
      </c>
      <c r="B11" s="5" t="inlineStr">
        <is>
          <t>Operating cash flow (EBITDA)</t>
        </is>
      </c>
    </row>
    <row r="12">
      <c r="A12" s="4" t="inlineStr">
        <is>
          <t>Collateral</t>
        </is>
      </c>
      <c r="B12" s="5" t="inlineStr">
        <is>
          <t>Service vehicles &amp; equipment (purchase-money lien)</t>
        </is>
      </c>
    </row>
    <row r="13">
      <c r="A13" s="4" t="inlineStr">
        <is>
          <t>Guarantee</t>
        </is>
      </c>
      <c r="B13" s="5" t="inlineStr">
        <is>
          <t>Full personal guarantee of majority owner</t>
        </is>
      </c>
    </row>
    <row r="14">
      <c r="A14" s="4" t="inlineStr">
        <is>
          <t>Underwriting Question</t>
        </is>
      </c>
      <c r="B14" s="5" t="inlineStr">
        <is>
          <t>Should the bank approve this loan?</t>
        </is>
      </c>
    </row>
    <row r="16">
      <c r="A16" s="3" t="inlineStr">
        <is>
          <t>Proposed Loan Terms  (blue = input assumptions)</t>
        </is>
      </c>
    </row>
    <row r="17">
      <c r="A17" s="6" t="inlineStr">
        <is>
          <t>Term</t>
        </is>
      </c>
      <c r="B17" s="6" t="inlineStr">
        <is>
          <t>Value</t>
        </is>
      </c>
    </row>
    <row r="18">
      <c r="A18" s="4" t="inlineStr">
        <is>
          <t>Loan Amount</t>
        </is>
      </c>
      <c r="B18" s="7" t="n">
        <v>750000</v>
      </c>
    </row>
    <row r="19">
      <c r="A19" s="4" t="inlineStr">
        <is>
          <t>Term (months)</t>
        </is>
      </c>
      <c r="B19" s="8" t="n">
        <v>60</v>
      </c>
    </row>
    <row r="20">
      <c r="A20" s="4" t="inlineStr">
        <is>
          <t>Annual Interest Rate</t>
        </is>
      </c>
      <c r="B20" s="9" t="n">
        <v>0.0825</v>
      </c>
    </row>
    <row r="21">
      <c r="A21" s="4" t="inlineStr">
        <is>
          <t>Amortization</t>
        </is>
      </c>
      <c r="B21" s="5" t="inlineStr">
        <is>
          <t>Fully amortizing, monthly P&amp;I</t>
        </is>
      </c>
    </row>
    <row r="22">
      <c r="A22" s="4" t="inlineStr">
        <is>
          <t>Equity Injection</t>
        </is>
      </c>
      <c r="B22" s="7" t="n">
        <v>85000</v>
      </c>
    </row>
    <row r="24" ht="42" customHeight="1">
      <c r="A24" s="10" t="inlineStr">
        <is>
          <t>How to read this workbook:  Blue font = input assumptions you can change. Black font = formulas/outputs driven by the inputs. Each tab flows into the next, ending in the Risk Rating scorecard and Credit Memo recommendation.</t>
        </is>
      </c>
    </row>
  </sheetData>
  <mergeCells count="5">
    <mergeCell ref="A1:D1"/>
    <mergeCell ref="A4:D4"/>
    <mergeCell ref="A24:D24"/>
    <mergeCell ref="A16:D16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 ht="26" customHeight="1">
      <c r="A1" s="1" t="inlineStr">
        <is>
          <t>Income Statement</t>
        </is>
      </c>
    </row>
    <row r="2" ht="18" customHeight="1">
      <c r="A2" s="2" t="inlineStr">
        <is>
          <t>Northstar Equipment Services LLC  |  USD, fiscal year</t>
        </is>
      </c>
    </row>
    <row r="4">
      <c r="A4" s="6" t="inlineStr">
        <is>
          <t>Line Item ($)</t>
        </is>
      </c>
      <c r="B4" s="6" t="inlineStr">
        <is>
          <t>2023</t>
        </is>
      </c>
      <c r="C4" s="6" t="inlineStr">
        <is>
          <t>2024</t>
        </is>
      </c>
      <c r="D4" s="6" t="inlineStr">
        <is>
          <t>2025</t>
        </is>
      </c>
    </row>
    <row r="5">
      <c r="A5" s="4" t="inlineStr">
        <is>
          <t>Revenue</t>
        </is>
      </c>
      <c r="B5" s="11" t="n">
        <v>4200000</v>
      </c>
      <c r="C5" s="11" t="n">
        <v>4800000</v>
      </c>
      <c r="D5" s="11" t="n">
        <v>5400000</v>
      </c>
    </row>
    <row r="6">
      <c r="A6" s="5" t="inlineStr">
        <is>
          <t>Cost of Goods Sold (COGS)</t>
        </is>
      </c>
      <c r="B6" s="11" t="n">
        <v>2604000</v>
      </c>
      <c r="C6" s="11" t="n">
        <v>2952000</v>
      </c>
      <c r="D6" s="11" t="n">
        <v>3294000</v>
      </c>
    </row>
    <row r="7">
      <c r="A7" s="4" t="inlineStr">
        <is>
          <t>Gross Profit</t>
        </is>
      </c>
      <c r="B7" s="12">
        <f>B5-B6</f>
        <v/>
      </c>
      <c r="C7" s="12">
        <f>C5-C6</f>
        <v/>
      </c>
      <c r="D7" s="12">
        <f>D5-D6</f>
        <v/>
      </c>
    </row>
    <row r="8">
      <c r="A8" s="5" t="inlineStr">
        <is>
          <t>Operating Expenses (excl. D&amp;A)</t>
        </is>
      </c>
      <c r="B8" s="11" t="n">
        <v>1180000</v>
      </c>
      <c r="C8" s="11" t="n">
        <v>1330000</v>
      </c>
      <c r="D8" s="11" t="n">
        <v>1480000</v>
      </c>
    </row>
    <row r="9">
      <c r="A9" s="4" t="inlineStr">
        <is>
          <t>EBITDA</t>
        </is>
      </c>
      <c r="B9" s="12">
        <f>B7-B8</f>
        <v/>
      </c>
      <c r="C9" s="12">
        <f>C7-C8</f>
        <v/>
      </c>
      <c r="D9" s="12">
        <f>D7-D8</f>
        <v/>
      </c>
    </row>
    <row r="10">
      <c r="A10" s="5" t="inlineStr">
        <is>
          <t>Depreciation &amp; Amortization</t>
        </is>
      </c>
      <c r="B10" s="11" t="n">
        <v>130000</v>
      </c>
      <c r="C10" s="11" t="n">
        <v>145000</v>
      </c>
      <c r="D10" s="11" t="n">
        <v>160000</v>
      </c>
    </row>
    <row r="11">
      <c r="A11" s="5" t="inlineStr">
        <is>
          <t>EBIT (Operating Income)</t>
        </is>
      </c>
      <c r="B11" s="13">
        <f>B9-B10</f>
        <v/>
      </c>
      <c r="C11" s="13">
        <f>C9-C10</f>
        <v/>
      </c>
      <c r="D11" s="13">
        <f>D9-D10</f>
        <v/>
      </c>
    </row>
    <row r="12">
      <c r="A12" s="5" t="inlineStr">
        <is>
          <t>Interest Expense</t>
        </is>
      </c>
      <c r="B12" s="11" t="n">
        <v>95000</v>
      </c>
      <c r="C12" s="11" t="n">
        <v>105000</v>
      </c>
      <c r="D12" s="11" t="n">
        <v>110000</v>
      </c>
    </row>
    <row r="13">
      <c r="A13" s="5" t="inlineStr">
        <is>
          <t>Pre-Tax Income (EBT)</t>
        </is>
      </c>
      <c r="B13" s="13">
        <f>B11-B12</f>
        <v/>
      </c>
      <c r="C13" s="13">
        <f>C11-C12</f>
        <v/>
      </c>
      <c r="D13" s="13">
        <f>D11-D12</f>
        <v/>
      </c>
    </row>
    <row r="14">
      <c r="A14" s="5" t="inlineStr">
        <is>
          <t>Income Taxes</t>
        </is>
      </c>
      <c r="B14" s="11" t="n">
        <v>47750</v>
      </c>
      <c r="C14" s="11" t="n">
        <v>67000</v>
      </c>
      <c r="D14" s="11" t="n">
        <v>89000</v>
      </c>
    </row>
    <row r="15">
      <c r="A15" s="4" t="inlineStr">
        <is>
          <t>Net Income</t>
        </is>
      </c>
      <c r="B15" s="14">
        <f>B13-B14</f>
        <v/>
      </c>
      <c r="C15" s="14">
        <f>C13-C14</f>
        <v/>
      </c>
      <c r="D15" s="14">
        <f>D13-D14</f>
        <v/>
      </c>
    </row>
    <row r="17" ht="56" customHeight="1">
      <c r="A17" s="10" t="inlineStr">
        <is>
          <t>Notes:  Gross Profit = Revenue - COGS.  EBITDA = Gross Profit - Operating Expenses (a proxy for cash operating earnings before financing, tax and non-cash D&amp;A). Net Income is the bottom-line accrual profit. Revenue grew ~14% (2024) and ~13% (2025) with stable margins - a positive, consistent trend for an underwriter.</t>
        </is>
      </c>
    </row>
  </sheetData>
  <mergeCells count="3">
    <mergeCell ref="A1:D1"/>
    <mergeCell ref="A17:D17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 ht="26" customHeight="1">
      <c r="A1" s="1" t="inlineStr">
        <is>
          <t>Balance Sheet</t>
        </is>
      </c>
    </row>
    <row r="2" ht="18" customHeight="1">
      <c r="A2" s="2" t="inlineStr">
        <is>
          <t>Northstar Equipment Services LLC  |  USD, as of year-end</t>
        </is>
      </c>
    </row>
    <row r="4">
      <c r="A4" s="6" t="inlineStr">
        <is>
          <t>Line Item ($)</t>
        </is>
      </c>
      <c r="B4" s="6" t="inlineStr">
        <is>
          <t>2023</t>
        </is>
      </c>
      <c r="C4" s="6" t="inlineStr">
        <is>
          <t>2024</t>
        </is>
      </c>
      <c r="D4" s="6" t="inlineStr">
        <is>
          <t>2025</t>
        </is>
      </c>
    </row>
    <row r="5">
      <c r="A5" s="3" t="inlineStr">
        <is>
          <t>Assets</t>
        </is>
      </c>
    </row>
    <row r="6">
      <c r="A6" s="5" t="inlineStr">
        <is>
          <t>Cash &amp; Equivalents</t>
        </is>
      </c>
      <c r="B6" s="11" t="n">
        <v>180000</v>
      </c>
      <c r="C6" s="11" t="n">
        <v>240000</v>
      </c>
      <c r="D6" s="11" t="n">
        <v>320000</v>
      </c>
    </row>
    <row r="7">
      <c r="A7" s="5" t="inlineStr">
        <is>
          <t>Accounts Receivable</t>
        </is>
      </c>
      <c r="B7" s="11" t="n">
        <v>430000</v>
      </c>
      <c r="C7" s="11" t="n">
        <v>490000</v>
      </c>
      <c r="D7" s="11" t="n">
        <v>540000</v>
      </c>
    </row>
    <row r="8">
      <c r="A8" s="5" t="inlineStr">
        <is>
          <t>Inventory</t>
        </is>
      </c>
      <c r="B8" s="11" t="n">
        <v>240000</v>
      </c>
      <c r="C8" s="11" t="n">
        <v>260000</v>
      </c>
      <c r="D8" s="11" t="n">
        <v>280000</v>
      </c>
    </row>
    <row r="9">
      <c r="A9" s="4" t="inlineStr">
        <is>
          <t>Total Current Assets</t>
        </is>
      </c>
      <c r="B9" s="12">
        <f>SUM(B6:B8)</f>
        <v/>
      </c>
      <c r="C9" s="12">
        <f>SUM(C6:C8)</f>
        <v/>
      </c>
      <c r="D9" s="12">
        <f>SUM(D6:D8)</f>
        <v/>
      </c>
    </row>
    <row r="10">
      <c r="A10" s="5" t="inlineStr">
        <is>
          <t>Net Fixed Assets (PP&amp;E)</t>
        </is>
      </c>
      <c r="B10" s="11" t="n">
        <v>1350000</v>
      </c>
      <c r="C10" s="11" t="n">
        <v>1500000</v>
      </c>
      <c r="D10" s="11" t="n">
        <v>1650000</v>
      </c>
    </row>
    <row r="11">
      <c r="A11" s="4" t="inlineStr">
        <is>
          <t>Total Assets</t>
        </is>
      </c>
      <c r="B11" s="15">
        <f>B9+B10</f>
        <v/>
      </c>
      <c r="C11" s="15">
        <f>C9+C10</f>
        <v/>
      </c>
      <c r="D11" s="15">
        <f>D9+D10</f>
        <v/>
      </c>
    </row>
    <row r="13">
      <c r="A13" s="3" t="inlineStr">
        <is>
          <t>Liabilities &amp; Equity</t>
        </is>
      </c>
    </row>
    <row r="14">
      <c r="A14" s="5" t="inlineStr">
        <is>
          <t>Accounts Payable</t>
        </is>
      </c>
      <c r="B14" s="11" t="n">
        <v>300000</v>
      </c>
      <c r="C14" s="11" t="n">
        <v>330000</v>
      </c>
      <c r="D14" s="11" t="n">
        <v>360000</v>
      </c>
    </row>
    <row r="15">
      <c r="A15" s="5" t="inlineStr">
        <is>
          <t>Short-Term Debt (incl. CPLTD)</t>
        </is>
      </c>
      <c r="B15" s="11" t="n">
        <v>150000</v>
      </c>
      <c r="C15" s="11" t="n">
        <v>165000</v>
      </c>
      <c r="D15" s="11" t="n">
        <v>180000</v>
      </c>
    </row>
    <row r="16">
      <c r="A16" s="4" t="inlineStr">
        <is>
          <t>Total Current Liabilities</t>
        </is>
      </c>
      <c r="B16" s="12">
        <f>B14+B15</f>
        <v/>
      </c>
      <c r="C16" s="12">
        <f>C14+C15</f>
        <v/>
      </c>
      <c r="D16" s="12">
        <f>D14+D15</f>
        <v/>
      </c>
    </row>
    <row r="17">
      <c r="A17" s="5" t="inlineStr">
        <is>
          <t>Long-Term Debt</t>
        </is>
      </c>
      <c r="B17" s="11" t="n">
        <v>780000</v>
      </c>
      <c r="C17" s="11" t="n">
        <v>820000</v>
      </c>
      <c r="D17" s="11" t="n">
        <v>850000</v>
      </c>
    </row>
    <row r="18">
      <c r="A18" s="4" t="inlineStr">
        <is>
          <t>Total Liabilities</t>
        </is>
      </c>
      <c r="B18" s="12">
        <f>B16+B17</f>
        <v/>
      </c>
      <c r="C18" s="12">
        <f>C16+C17</f>
        <v/>
      </c>
      <c r="D18" s="12">
        <f>D16+D17</f>
        <v/>
      </c>
    </row>
    <row r="19">
      <c r="A19" s="5" t="inlineStr">
        <is>
          <t>Total Equity (members' capital)</t>
        </is>
      </c>
      <c r="B19" s="11" t="n">
        <v>970000</v>
      </c>
      <c r="C19" s="11" t="n">
        <v>1175000</v>
      </c>
      <c r="D19" s="11" t="n">
        <v>1400000</v>
      </c>
    </row>
    <row r="20">
      <c r="A20" s="4" t="inlineStr">
        <is>
          <t>Total Liabilities &amp; Equity</t>
        </is>
      </c>
      <c r="B20" s="15">
        <f>B18+B19</f>
        <v/>
      </c>
      <c r="C20" s="15">
        <f>C18+C19</f>
        <v/>
      </c>
      <c r="D20" s="15">
        <f>D18+D19</f>
        <v/>
      </c>
    </row>
    <row r="21">
      <c r="A21" s="5" t="inlineStr">
        <is>
          <t>Balance Check (TA - TL&amp;E)</t>
        </is>
      </c>
      <c r="B21" s="13">
        <f>B11-B20</f>
        <v/>
      </c>
      <c r="C21" s="13">
        <f>C11-C20</f>
        <v/>
      </c>
      <c r="D21" s="13">
        <f>D11-D20</f>
        <v/>
      </c>
    </row>
    <row r="23" ht="42" customHeight="1">
      <c r="A23" s="10" t="inlineStr">
        <is>
          <t>Notes:  Total Equity is an input from the borrower's financials; the Balance Check row confirms Assets = Liabilities + Equity (should be 0). Short-Term Debt includes the current portion of long-term debt (CPLTD).</t>
        </is>
      </c>
    </row>
  </sheetData>
  <mergeCells count="5">
    <mergeCell ref="A1:D1"/>
    <mergeCell ref="A23:D23"/>
    <mergeCell ref="A5:D5"/>
    <mergeCell ref="A2:D2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" t="inlineStr">
        <is>
          <t>Ratio Analysis (Financial Spreading)</t>
        </is>
      </c>
    </row>
    <row r="2" ht="18" customHeight="1">
      <c r="A2" s="2" t="inlineStr">
        <is>
          <t>Trends, profitability, leverage and liquidity</t>
        </is>
      </c>
    </row>
    <row r="4">
      <c r="A4" s="6" t="inlineStr">
        <is>
          <t>Ratio</t>
        </is>
      </c>
      <c r="B4" s="6" t="inlineStr">
        <is>
          <t>2023</t>
        </is>
      </c>
      <c r="C4" s="6" t="inlineStr">
        <is>
          <t>2024</t>
        </is>
      </c>
      <c r="D4" s="6" t="inlineStr">
        <is>
          <t>2025</t>
        </is>
      </c>
      <c r="E4" s="6" t="inlineStr">
        <is>
          <t>What it means (plain English)</t>
        </is>
      </c>
    </row>
    <row r="5">
      <c r="A5" s="4" t="inlineStr">
        <is>
          <t>Revenue Growth %</t>
        </is>
      </c>
      <c r="B5" s="16" t="inlineStr">
        <is>
          <t>n/a</t>
        </is>
      </c>
      <c r="C5" s="17">
        <f>'02 Income Statement'!C5/'02 Income Statement'!B5-1</f>
        <v/>
      </c>
      <c r="D5" s="17">
        <f>'02 Income Statement'!D5/'02 Income Statement'!C5-1</f>
        <v/>
      </c>
      <c r="E5" s="18" t="inlineStr">
        <is>
          <t>Year-over-year sales change. Positive, steady growth signals demand and durability.</t>
        </is>
      </c>
    </row>
    <row r="6">
      <c r="A6" s="4" t="inlineStr">
        <is>
          <t>Gross Margin %</t>
        </is>
      </c>
      <c r="B6" s="17">
        <f>'02 Income Statement'!B7/'02 Income Statement'!B5</f>
        <v/>
      </c>
      <c r="C6" s="17">
        <f>'02 Income Statement'!C7/'02 Income Statement'!C5</f>
        <v/>
      </c>
      <c r="D6" s="17">
        <f>'02 Income Statement'!D7/'02 Income Statement'!D5</f>
        <v/>
      </c>
      <c r="E6" s="18" t="inlineStr">
        <is>
          <t>Profit left after direct job costs. Stable margin = good pricing &amp; cost control.</t>
        </is>
      </c>
    </row>
    <row r="7">
      <c r="A7" s="4" t="inlineStr">
        <is>
          <t>EBITDA Margin %</t>
        </is>
      </c>
      <c r="B7" s="17">
        <f>'02 Income Statement'!B9/'02 Income Statement'!B5</f>
        <v/>
      </c>
      <c r="C7" s="17">
        <f>'02 Income Statement'!C9/'02 Income Statement'!C5</f>
        <v/>
      </c>
      <c r="D7" s="17">
        <f>'02 Income Statement'!D9/'02 Income Statement'!D5</f>
        <v/>
      </c>
      <c r="E7" s="18" t="inlineStr">
        <is>
          <t>Cash operating profitability before financing/tax. Drives debt repayment capacity.</t>
        </is>
      </c>
    </row>
    <row r="8">
      <c r="A8" s="4" t="inlineStr">
        <is>
          <t>Current Ratio</t>
        </is>
      </c>
      <c r="B8" s="19">
        <f>'03 Balance Sheet'!B9/'03 Balance Sheet'!B16</f>
        <v/>
      </c>
      <c r="C8" s="19">
        <f>'03 Balance Sheet'!C9/'03 Balance Sheet'!C16</f>
        <v/>
      </c>
      <c r="D8" s="19">
        <f>'03 Balance Sheet'!D9/'03 Balance Sheet'!D16</f>
        <v/>
      </c>
      <c r="E8" s="18" t="inlineStr">
        <is>
          <t>Current assets / current liabilities. &gt;1.5x = comfortable short-term liquidity.</t>
        </is>
      </c>
    </row>
    <row r="9">
      <c r="A9" s="4" t="inlineStr">
        <is>
          <t>Debt-to-Equity</t>
        </is>
      </c>
      <c r="B9" s="19">
        <f>'03 Balance Sheet'!B18/'03 Balance Sheet'!B19</f>
        <v/>
      </c>
      <c r="C9" s="19">
        <f>'03 Balance Sheet'!C18/'03 Balance Sheet'!C19</f>
        <v/>
      </c>
      <c r="D9" s="19">
        <f>'03 Balance Sheet'!D18/'03 Balance Sheet'!D19</f>
        <v/>
      </c>
      <c r="E9" s="18" t="inlineStr">
        <is>
          <t>Total liabilities / equity. Lower = more owner skin-in-the-game, less leverage.</t>
        </is>
      </c>
    </row>
    <row r="10">
      <c r="A10" s="4" t="inlineStr">
        <is>
          <t>Debt-to-EBITDA</t>
        </is>
      </c>
      <c r="B10" s="19">
        <f>('03 Balance Sheet'!B15+'03 Balance Sheet'!B17)/'02 Income Statement'!B9</f>
        <v/>
      </c>
      <c r="C10" s="19">
        <f>('03 Balance Sheet'!C15+'03 Balance Sheet'!C17)/'02 Income Statement'!C9</f>
        <v/>
      </c>
      <c r="D10" s="19">
        <f>('03 Balance Sheet'!D15+'03 Balance Sheet'!D17)/'02 Income Statement'!D9</f>
        <v/>
      </c>
      <c r="E10" s="18" t="inlineStr">
        <is>
          <t>Interest-bearing debt / EBITDA. Years of cash earnings to repay debt; &lt;3.0x is healthy.</t>
        </is>
      </c>
    </row>
    <row r="11">
      <c r="A11" s="4" t="inlineStr">
        <is>
          <t>Working Capital ($)</t>
        </is>
      </c>
      <c r="B11" s="13">
        <f>'03 Balance Sheet'!B9-'03 Balance Sheet'!B16</f>
        <v/>
      </c>
      <c r="C11" s="13">
        <f>'03 Balance Sheet'!C9-'03 Balance Sheet'!C16</f>
        <v/>
      </c>
      <c r="D11" s="13">
        <f>'03 Balance Sheet'!D9-'03 Balance Sheet'!D16</f>
        <v/>
      </c>
      <c r="E11" s="18" t="inlineStr">
        <is>
          <t>Current assets minus current liabilities. Positive cushion funds day-to-day operations.</t>
        </is>
      </c>
    </row>
    <row r="13" ht="40" customHeight="1">
      <c r="A13" s="10" t="inlineStr">
        <is>
          <t>Underwriter read:  Margins are stable, leverage is modest (D/E ~1.0x, Debt/EBITDA &lt;2x) and liquidity is strong (current ratio &gt;2x). The trend is improving across all three years.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</cols>
  <sheetData>
    <row r="1" ht="26" customHeight="1">
      <c r="A1" s="1" t="inlineStr">
        <is>
          <t>DSCR Analysis (Repayment Capacity)</t>
        </is>
      </c>
    </row>
    <row r="2" ht="18" customHeight="1">
      <c r="A2" s="2" t="inlineStr">
        <is>
          <t>Cash flow available for debt service vs. debt service</t>
        </is>
      </c>
    </row>
    <row r="4">
      <c r="A4" s="3" t="inlineStr">
        <is>
          <t>Proposed Loan Debt Service</t>
        </is>
      </c>
    </row>
    <row r="5">
      <c r="A5" s="6" t="inlineStr">
        <is>
          <t>Item</t>
        </is>
      </c>
      <c r="B5" s="6" t="inlineStr">
        <is>
          <t>Value</t>
        </is>
      </c>
    </row>
    <row r="6">
      <c r="A6" s="5" t="inlineStr">
        <is>
          <t>Loan Amount</t>
        </is>
      </c>
      <c r="B6" s="20">
        <f>'01 Borrower Overview'!B18</f>
        <v/>
      </c>
    </row>
    <row r="7">
      <c r="A7" s="5" t="inlineStr">
        <is>
          <t>Term (months)</t>
        </is>
      </c>
      <c r="B7" s="21">
        <f>'01 Borrower Overview'!B19</f>
        <v/>
      </c>
    </row>
    <row r="8">
      <c r="A8" s="5" t="inlineStr">
        <is>
          <t>Annual Interest Rate</t>
        </is>
      </c>
      <c r="B8" s="17">
        <f>'01 Borrower Overview'!B20</f>
        <v/>
      </c>
    </row>
    <row r="9">
      <c r="A9" s="5" t="inlineStr">
        <is>
          <t>Monthly Payment (P&amp;I)</t>
        </is>
      </c>
      <c r="B9" s="20">
        <f>PMT('01 Borrower Overview'!B20/12,'01 Borrower Overview'!B19,-'01 Borrower Overview'!B18)</f>
        <v/>
      </c>
    </row>
    <row r="10">
      <c r="A10" s="4" t="inlineStr">
        <is>
          <t>Proposed Annual Debt Service</t>
        </is>
      </c>
      <c r="B10" s="22">
        <f>B9*12</f>
        <v/>
      </c>
    </row>
    <row r="11">
      <c r="A11" s="5" t="inlineStr">
        <is>
          <t>Existing Annual Debt Service (current loans)</t>
        </is>
      </c>
      <c r="B11" s="23" t="n">
        <v>175000</v>
      </c>
    </row>
    <row r="12">
      <c r="A12" s="4" t="inlineStr">
        <is>
          <t>Total (Global) Annual Debt Service</t>
        </is>
      </c>
      <c r="B12" s="22">
        <f>B10+B11</f>
        <v/>
      </c>
    </row>
    <row r="14">
      <c r="A14" s="3" t="inlineStr">
        <is>
          <t>Cash Flow Available for Debt Service (CFADS)</t>
        </is>
      </c>
    </row>
    <row r="15">
      <c r="A15" s="6" t="inlineStr">
        <is>
          <t>Component</t>
        </is>
      </c>
      <c r="B15" s="6" t="inlineStr">
        <is>
          <t>2023</t>
        </is>
      </c>
      <c r="C15" s="6" t="inlineStr">
        <is>
          <t>2024</t>
        </is>
      </c>
      <c r="D15" s="6" t="inlineStr">
        <is>
          <t>2025</t>
        </is>
      </c>
    </row>
    <row r="16">
      <c r="A16" s="5" t="inlineStr">
        <is>
          <t>EBITDA</t>
        </is>
      </c>
      <c r="B16" s="13">
        <f>'02 Income Statement'!B9</f>
        <v/>
      </c>
      <c r="C16" s="13">
        <f>'02 Income Statement'!C9</f>
        <v/>
      </c>
      <c r="D16" s="13">
        <f>'02 Income Statement'!D9</f>
        <v/>
      </c>
    </row>
    <row r="17">
      <c r="A17" s="5" t="inlineStr">
        <is>
          <t>Less: Cash Income Taxes</t>
        </is>
      </c>
      <c r="B17" s="13">
        <f>-'02 Income Statement'!B14</f>
        <v/>
      </c>
      <c r="C17" s="13">
        <f>-'02 Income Statement'!C14</f>
        <v/>
      </c>
      <c r="D17" s="13">
        <f>-'02 Income Statement'!D14</f>
        <v/>
      </c>
    </row>
    <row r="18">
      <c r="A18" s="5" t="inlineStr">
        <is>
          <t>Less: Maintenance Capex (unfinanced)</t>
        </is>
      </c>
      <c r="B18" s="11" t="n">
        <v>-55000</v>
      </c>
      <c r="C18" s="11" t="n">
        <v>-58000</v>
      </c>
      <c r="D18" s="11" t="n">
        <v>-60000</v>
      </c>
    </row>
    <row r="19">
      <c r="A19" s="4" t="inlineStr">
        <is>
          <t>CFADS</t>
        </is>
      </c>
      <c r="B19" s="12">
        <f>SUM(B16:B18)</f>
        <v/>
      </c>
      <c r="C19" s="12">
        <f>SUM(C16:C18)</f>
        <v/>
      </c>
      <c r="D19" s="12">
        <f>SUM(D16:D18)</f>
        <v/>
      </c>
    </row>
    <row r="21">
      <c r="A21" s="3" t="inlineStr">
        <is>
          <t>Debt Service Coverage Ratio (DSCR)</t>
        </is>
      </c>
    </row>
    <row r="22">
      <c r="A22" s="6" t="inlineStr">
        <is>
          <t>Metric</t>
        </is>
      </c>
      <c r="B22" s="6" t="inlineStr">
        <is>
          <t>2023</t>
        </is>
      </c>
      <c r="C22" s="6" t="inlineStr">
        <is>
          <t>2024</t>
        </is>
      </c>
      <c r="D22" s="6" t="inlineStr">
        <is>
          <t>2025</t>
        </is>
      </c>
    </row>
    <row r="23">
      <c r="A23" s="4" t="inlineStr">
        <is>
          <t>Proposed-Loan DSCR  (CFADS / new DS)</t>
        </is>
      </c>
      <c r="B23" s="24">
        <f>B19/$B$10</f>
        <v/>
      </c>
      <c r="C23" s="24">
        <f>C19/$B$10</f>
        <v/>
      </c>
      <c r="D23" s="24">
        <f>D19/$B$10</f>
        <v/>
      </c>
    </row>
    <row r="24">
      <c r="A24" s="4" t="inlineStr">
        <is>
          <t>Global DSCR  (CFADS / total DS)</t>
        </is>
      </c>
      <c r="B24" s="24">
        <f>B19/$B$12</f>
        <v/>
      </c>
      <c r="C24" s="24">
        <f>C19/$B$12</f>
        <v/>
      </c>
      <c r="D24" s="24">
        <f>D19/$B$12</f>
        <v/>
      </c>
    </row>
    <row r="25">
      <c r="A25" s="5" t="inlineStr">
        <is>
          <t>Policy Minimum DSCR</t>
        </is>
      </c>
      <c r="B25" s="25" t="n">
        <v>1.2</v>
      </c>
    </row>
    <row r="26">
      <c r="A26" s="4" t="inlineStr">
        <is>
          <t>Pass / Fail (Global DSCR, 2025)</t>
        </is>
      </c>
      <c r="B26" s="26">
        <f>IF(D24&gt;=B25,"PASS","FAIL")</f>
        <v/>
      </c>
    </row>
    <row r="28" ht="58" customHeight="1">
      <c r="A28" s="10" t="inlineStr">
        <is>
          <t>DSCR = cash flow available for debt service / debt service. It answers: for every $1 of loan payment, how many dollars of cash does the business generate? Banks typically want &gt;=1.20x. CFADS here = EBITDA - cash taxes - unfinanced maintenance capex (a conservative measure). 2025 global DSCR is comfortably above the 1.20x policy floor even with existing debt.</t>
        </is>
      </c>
    </row>
  </sheetData>
  <mergeCells count="6">
    <mergeCell ref="A1:D1"/>
    <mergeCell ref="A4:D4"/>
    <mergeCell ref="A21:D21"/>
    <mergeCell ref="A2:D2"/>
    <mergeCell ref="A28:D28"/>
    <mergeCell ref="A14:D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8" customWidth="1" min="4" max="4"/>
    <col width="30" customWidth="1" min="5" max="5"/>
  </cols>
  <sheetData>
    <row r="1" ht="26" customHeight="1">
      <c r="A1" s="1" t="inlineStr">
        <is>
          <t>Collateral &amp; Loan-to-Value (LTV)</t>
        </is>
      </c>
    </row>
    <row r="2" ht="18" customHeight="1">
      <c r="A2" s="2" t="inlineStr">
        <is>
          <t>Service vehicles &amp; equipment securing the loan</t>
        </is>
      </c>
    </row>
    <row r="4">
      <c r="A4" s="6" t="inlineStr">
        <is>
          <t>Collateral</t>
        </is>
      </c>
      <c r="B4" s="6" t="inlineStr">
        <is>
          <t>Appraised / Cost</t>
        </is>
      </c>
      <c r="C4" s="6" t="inlineStr">
        <is>
          <t>Advance Rate</t>
        </is>
      </c>
      <c r="D4" s="6" t="inlineStr">
        <is>
          <t>Lendable Value</t>
        </is>
      </c>
      <c r="E4" s="6" t="inlineStr">
        <is>
          <t>Basis</t>
        </is>
      </c>
    </row>
    <row r="5">
      <c r="A5" s="5" t="inlineStr">
        <is>
          <t>Service Vehicles (new, purchase-money)</t>
        </is>
      </c>
      <c r="B5" s="23" t="n">
        <v>520000</v>
      </c>
      <c r="C5" s="27" t="n">
        <v>0.8</v>
      </c>
      <c r="D5" s="20">
        <f>B5*C5</f>
        <v/>
      </c>
      <c r="E5" s="18" t="inlineStr">
        <is>
          <t>Titled rolling stock; NADA values</t>
        </is>
      </c>
    </row>
    <row r="6">
      <c r="A6" s="5" t="inlineStr">
        <is>
          <t>Shop / Service Equipment (new)</t>
        </is>
      </c>
      <c r="B6" s="23" t="n">
        <v>315000</v>
      </c>
      <c r="C6" s="27" t="n">
        <v>0.7</v>
      </c>
      <c r="D6" s="20">
        <f>B6*C6</f>
        <v/>
      </c>
      <c r="E6" s="18" t="inlineStr">
        <is>
          <t>New machinery; net orderly liquidation</t>
        </is>
      </c>
    </row>
    <row r="7">
      <c r="A7" s="5" t="inlineStr">
        <is>
          <t>Existing Equipment (additional pledge)</t>
        </is>
      </c>
      <c r="B7" s="23" t="n">
        <v>300000</v>
      </c>
      <c r="C7" s="27" t="n">
        <v>0.6</v>
      </c>
      <c r="D7" s="20">
        <f>B7*C7</f>
        <v/>
      </c>
      <c r="E7" s="18" t="inlineStr">
        <is>
          <t>Used; discounted forced-sale value</t>
        </is>
      </c>
    </row>
    <row r="8">
      <c r="A8" s="4" t="inlineStr">
        <is>
          <t>Total Collateral Value</t>
        </is>
      </c>
      <c r="B8" s="28">
        <f>SUM(B5:B7)</f>
        <v/>
      </c>
      <c r="C8" s="29" t="n"/>
      <c r="D8" s="28">
        <f>SUM(D5:D7)</f>
        <v/>
      </c>
    </row>
    <row r="10">
      <c r="A10" s="3" t="inlineStr">
        <is>
          <t>LTV &amp; Collateral Coverage</t>
        </is>
      </c>
    </row>
    <row r="11">
      <c r="A11" s="6" t="inlineStr">
        <is>
          <t>Metric</t>
        </is>
      </c>
      <c r="B11" s="6" t="inlineStr">
        <is>
          <t>Value</t>
        </is>
      </c>
    </row>
    <row r="12">
      <c r="A12" s="5" t="inlineStr">
        <is>
          <t>Loan Amount</t>
        </is>
      </c>
      <c r="B12" s="20">
        <f>'01 Borrower Overview'!B18</f>
        <v/>
      </c>
    </row>
    <row r="13">
      <c r="A13" s="4" t="inlineStr">
        <is>
          <t>LTV vs. Appraised Value</t>
        </is>
      </c>
      <c r="B13" s="30">
        <f>'01 Borrower Overview'!B18/B8</f>
        <v/>
      </c>
    </row>
    <row r="14">
      <c r="A14" s="4" t="inlineStr">
        <is>
          <t>LTV vs. Lendable (discounted) Value</t>
        </is>
      </c>
      <c r="B14" s="30">
        <f>'01 Borrower Overview'!B18/D8</f>
        <v/>
      </c>
    </row>
    <row r="15">
      <c r="A15" s="4" t="inlineStr">
        <is>
          <t>Collateral Coverage (lendable / loan)</t>
        </is>
      </c>
      <c r="B15" s="24">
        <f>D8/'01 Borrower Overview'!B18</f>
        <v/>
      </c>
    </row>
    <row r="16">
      <c r="A16" s="5" t="inlineStr">
        <is>
          <t>Policy Min. Coverage</t>
        </is>
      </c>
      <c r="B16" s="25" t="n">
        <v>1</v>
      </c>
    </row>
    <row r="17">
      <c r="A17" s="4" t="inlineStr">
        <is>
          <t>Pass / Fail</t>
        </is>
      </c>
      <c r="B17" s="26">
        <f>IF(B15&gt;=B16,"PASS","FAIL")</f>
        <v/>
      </c>
    </row>
    <row r="19" ht="56" customHeight="1">
      <c r="A19" s="10" t="inlineStr">
        <is>
          <t>Advance rate = the % of value a lender will lend against after a liquidation haircut (vehicles hold value better than used equipment). LTV = loan / collateral value; lower is safer. Collateral coverage &gt;=1.0x on lendable value means the bank can expect to recover the loan in a default. Coverage here is adequate but not abundant - secondary, not primary, repayment.</t>
        </is>
      </c>
    </row>
  </sheetData>
  <mergeCells count="4">
    <mergeCell ref="A2:E2"/>
    <mergeCell ref="A10:D10"/>
    <mergeCell ref="A1:E1"/>
    <mergeCell ref="A19: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4" customWidth="1" min="4" max="4"/>
    <col width="44" customWidth="1" min="5" max="5"/>
  </cols>
  <sheetData>
    <row r="1" ht="26" customHeight="1">
      <c r="A1" s="1" t="inlineStr">
        <is>
          <t>Risk Rating Scorecard</t>
        </is>
      </c>
    </row>
    <row r="2" ht="18" customHeight="1">
      <c r="A2" s="2" t="inlineStr">
        <is>
          <t>Weighted 1 (strong) - 5 (weak); lower is better</t>
        </is>
      </c>
    </row>
    <row r="4">
      <c r="A4" s="6" t="inlineStr">
        <is>
          <t>Risk Factor</t>
        </is>
      </c>
      <c r="B4" s="6" t="inlineStr">
        <is>
          <t>Weight</t>
        </is>
      </c>
      <c r="C4" s="6" t="inlineStr">
        <is>
          <t>Score 1-5</t>
        </is>
      </c>
      <c r="D4" s="6" t="inlineStr">
        <is>
          <t>Weighted</t>
        </is>
      </c>
      <c r="E4" s="6" t="inlineStr">
        <is>
          <t>Rationale</t>
        </is>
      </c>
    </row>
    <row r="5">
      <c r="A5" s="5" t="inlineStr">
        <is>
          <t>Repayment Capacity (DSCR)</t>
        </is>
      </c>
      <c r="B5" s="27" t="n">
        <v>0.25</v>
      </c>
      <c r="C5" s="31" t="n">
        <v>2</v>
      </c>
      <c r="D5" s="32">
        <f>B5*C5</f>
        <v/>
      </c>
      <c r="E5" s="18" t="inlineStr">
        <is>
          <t>Global DSCR ~1.3x, proposed-loan DSCR &gt;2.5x; healthy cushion.</t>
        </is>
      </c>
    </row>
    <row r="6">
      <c r="A6" s="5" t="inlineStr">
        <is>
          <t>Leverage</t>
        </is>
      </c>
      <c r="B6" s="27" t="n">
        <v>0.15</v>
      </c>
      <c r="C6" s="31" t="n">
        <v>3</v>
      </c>
      <c r="D6" s="32">
        <f>B6*C6</f>
        <v/>
      </c>
      <c r="E6" s="18" t="inlineStr">
        <is>
          <t>D/E ~1.0x and Debt/EBITDA &lt;2x - moderate, in line with industry.</t>
        </is>
      </c>
    </row>
    <row r="7">
      <c r="A7" s="5" t="inlineStr">
        <is>
          <t>Liquidity</t>
        </is>
      </c>
      <c r="B7" s="27" t="n">
        <v>0.1</v>
      </c>
      <c r="C7" s="31" t="n">
        <v>2</v>
      </c>
      <c r="D7" s="32">
        <f>B7*C7</f>
        <v/>
      </c>
      <c r="E7" s="18" t="inlineStr">
        <is>
          <t>Current ratio &gt;2x; positive and growing working capital.</t>
        </is>
      </c>
    </row>
    <row r="8">
      <c r="A8" s="5" t="inlineStr">
        <is>
          <t>Collateral Coverage</t>
        </is>
      </c>
      <c r="B8" s="27" t="n">
        <v>0.15</v>
      </c>
      <c r="C8" s="31" t="n">
        <v>3</v>
      </c>
      <c r="D8" s="32">
        <f>B8*C8</f>
        <v/>
      </c>
      <c r="E8" s="18" t="inlineStr">
        <is>
          <t>~1.05x lendable coverage; adequate but not strong; depreciating assets.</t>
        </is>
      </c>
    </row>
    <row r="9">
      <c r="A9" s="5" t="inlineStr">
        <is>
          <t>Management</t>
        </is>
      </c>
      <c r="B9" s="27" t="n">
        <v>0.1</v>
      </c>
      <c r="C9" s="31" t="n">
        <v>3</v>
      </c>
      <c r="D9" s="32">
        <f>B9*C9</f>
        <v/>
      </c>
      <c r="E9" s="18" t="inlineStr">
        <is>
          <t>Experienced operator but new, unseasoned banking relationship.</t>
        </is>
      </c>
    </row>
    <row r="10">
      <c r="A10" s="5" t="inlineStr">
        <is>
          <t>Industry Risk</t>
        </is>
      </c>
      <c r="B10" s="27" t="n">
        <v>0.1</v>
      </c>
      <c r="C10" s="31" t="n">
        <v>3</v>
      </c>
      <c r="D10" s="32">
        <f>B10*C10</f>
        <v/>
      </c>
      <c r="E10" s="18" t="inlineStr">
        <is>
          <t>Equipment repair is cyclical/competitive but demand is non-discretionary.</t>
        </is>
      </c>
    </row>
    <row r="11">
      <c r="A11" s="5" t="inlineStr">
        <is>
          <t>Financial Trends</t>
        </is>
      </c>
      <c r="B11" s="27" t="n">
        <v>0.15</v>
      </c>
      <c r="C11" s="31" t="n">
        <v>2</v>
      </c>
      <c r="D11" s="32">
        <f>B11*C11</f>
        <v/>
      </c>
      <c r="E11" s="18" t="inlineStr">
        <is>
          <t>Three years of revenue growth with stable margins and rising equity.</t>
        </is>
      </c>
    </row>
    <row r="12">
      <c r="A12" s="4" t="inlineStr">
        <is>
          <t>Weighted Composite Score</t>
        </is>
      </c>
      <c r="B12" s="30">
        <f>SUM(B5:B11)</f>
        <v/>
      </c>
      <c r="C12" s="29" t="n"/>
      <c r="D12" s="33">
        <f>SUM(D5:D11)</f>
        <v/>
      </c>
    </row>
    <row r="13">
      <c r="A13" s="4" t="inlineStr">
        <is>
          <t>Risk Grade (1-7 scale)</t>
        </is>
      </c>
      <c r="D13" s="26">
        <f>IF(D12&lt;=1.5,"2 - Strong",IF(D12&lt;=2.5,"4 - Satisfactory",IF(D12&lt;=3.5,"5 - Acceptable / Watch",IF(D12&lt;=4.2,"6 - Special Mention","7 - Substandard"))))</f>
        <v/>
      </c>
    </row>
    <row r="15" ht="44" customHeight="1">
      <c r="A15" s="10" t="inlineStr">
        <is>
          <t>Each factor is scored 1 (strong) to 5 (weak) and multiplied by its weight; the weighted scores sum to a composite that maps to an internal risk grade. A composite around 2.5 lands in the low end of 'Acceptable' - a pass grade that typically supports approval with conditions.</t>
        </is>
      </c>
    </row>
  </sheetData>
  <mergeCells count="3">
    <mergeCell ref="A2:E2"/>
    <mergeCell ref="A15:E15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6" customHeight="1">
      <c r="A1" s="1" t="inlineStr">
        <is>
          <t>Credit Memo &amp; Recommendation</t>
        </is>
      </c>
    </row>
    <row r="2" ht="18" customHeight="1">
      <c r="A2" s="2" t="inlineStr">
        <is>
          <t>Northstar Equipment Services LLC  |  $750,000 Term Loan</t>
        </is>
      </c>
    </row>
    <row r="4">
      <c r="A4" s="3" t="inlineStr">
        <is>
          <t>Recommendation</t>
        </is>
      </c>
    </row>
    <row r="5">
      <c r="A5" s="4" t="inlineStr">
        <is>
          <t>Decision</t>
        </is>
      </c>
      <c r="B5" s="34" t="inlineStr">
        <is>
          <t>APPROVE WITH CONDITIONS</t>
        </is>
      </c>
    </row>
    <row r="6">
      <c r="A6" s="4" t="inlineStr">
        <is>
          <t>Risk Grade</t>
        </is>
      </c>
      <c r="B6" s="35">
        <f>'07 Risk Rating'!D13</f>
        <v/>
      </c>
    </row>
    <row r="7">
      <c r="A7" s="4" t="inlineStr">
        <is>
          <t>2025 Global DSCR</t>
        </is>
      </c>
      <c r="B7" s="36">
        <f>'05 DSCR Analysis'!D24</f>
        <v/>
      </c>
    </row>
    <row r="8">
      <c r="A8" s="4" t="inlineStr">
        <is>
          <t>Collateral Coverage</t>
        </is>
      </c>
      <c r="B8" s="36">
        <f>'06 Collateral LTV'!B15</f>
        <v/>
      </c>
    </row>
    <row r="10">
      <c r="A10" s="3" t="inlineStr">
        <is>
          <t>Summary</t>
        </is>
      </c>
    </row>
    <row r="11" ht="30" customHeight="1">
      <c r="B11" s="37" t="inlineStr">
        <is>
          <t>•  Northstar Equipment Services LLC requests a $750,000, 60-month term loan at 8.25% to purchase service vehicles and shop equipment, with a $85,000 owner equity injection.</t>
        </is>
      </c>
    </row>
    <row r="12" ht="30" customHeight="1">
      <c r="B12" s="37" t="inlineStr">
        <is>
          <t>•  The company shows three years of steady revenue growth (~$4.2M to $5.4M), stable ~39% gross margins, modest leverage, and strong liquidity. Cash flow comfortably covers the new debt.</t>
        </is>
      </c>
    </row>
    <row r="14">
      <c r="A14" s="3" t="inlineStr">
        <is>
          <t>Strengths</t>
        </is>
      </c>
    </row>
    <row r="15" ht="30" customHeight="1">
      <c r="B15" s="37" t="inlineStr">
        <is>
          <t>•  Consistent revenue growth and stable margins across 2023-2025.</t>
        </is>
      </c>
    </row>
    <row r="16" ht="30" customHeight="1">
      <c r="B16" s="37" t="inlineStr">
        <is>
          <t>•  Strong repayment capacity: proposed-loan DSCR &gt;2.5x and global DSCR ~1.3x, above the 1.20x floor.</t>
        </is>
      </c>
    </row>
    <row r="17" ht="30" customHeight="1">
      <c r="B17" s="37" t="inlineStr">
        <is>
          <t>•  Modest leverage (Debt/EBITDA &lt;2x, D/E ~1.0x) and healthy liquidity (current ratio &gt;2x).</t>
        </is>
      </c>
    </row>
    <row r="18" ht="30" customHeight="1">
      <c r="B18" s="37" t="inlineStr">
        <is>
          <t>•  Loan is purchase-money secured by titled vehicles and equipment, plus a personal guarantee.</t>
        </is>
      </c>
    </row>
    <row r="19" ht="30" customHeight="1">
      <c r="B19" s="37" t="inlineStr">
        <is>
          <t>•  Owner contributes equity (skin in the game), reducing effective LTV.</t>
        </is>
      </c>
    </row>
    <row r="21">
      <c r="A21" s="3" t="inlineStr">
        <is>
          <t>Weaknesses</t>
        </is>
      </c>
    </row>
    <row r="22" ht="30" customHeight="1">
      <c r="B22" s="37" t="inlineStr">
        <is>
          <t>•  New banking relationship with no prior repayment history at this institution.</t>
        </is>
      </c>
    </row>
    <row r="23" ht="30" customHeight="1">
      <c r="B23" s="37" t="inlineStr">
        <is>
          <t>•  Collateral is depreciating; lendable coverage (~1.05x) is adequate but not abundant.</t>
        </is>
      </c>
    </row>
    <row r="24" ht="30" customHeight="1">
      <c r="B24" s="37" t="inlineStr">
        <is>
          <t>•  Single-owner dependency (key-person risk); LLC financials likely company-prepared/reviewed.</t>
        </is>
      </c>
    </row>
    <row r="26">
      <c r="A26" s="3" t="inlineStr">
        <is>
          <t>Key Risks</t>
        </is>
      </c>
    </row>
    <row r="27" ht="30" customHeight="1">
      <c r="B27" s="37" t="inlineStr">
        <is>
          <t>•  Cyclicality: a downturn in customers' capital spending could compress repair volumes/revenue.</t>
        </is>
      </c>
    </row>
    <row r="28" ht="30" customHeight="1">
      <c r="B28" s="37" t="inlineStr">
        <is>
          <t>•  Asset depreciation could outpace loan amortization, weakening collateral coverage over time.</t>
        </is>
      </c>
    </row>
    <row r="29" ht="30" customHeight="1">
      <c r="B29" s="37" t="inlineStr">
        <is>
          <t>•  Margin/customer concentration risk not fully visible from summary financials.</t>
        </is>
      </c>
    </row>
    <row r="31">
      <c r="A31" s="3" t="inlineStr">
        <is>
          <t>Mitigants</t>
        </is>
      </c>
    </row>
    <row r="32" ht="30" customHeight="1">
      <c r="B32" s="37" t="inlineStr">
        <is>
          <t>•  Conservative DSCR (after maintenance capex) leaves cushion against a revenue decline.</t>
        </is>
      </c>
    </row>
    <row r="33" ht="30" customHeight="1">
      <c r="B33" s="37" t="inlineStr">
        <is>
          <t>•  Purchase-money lien on financed assets + additional equipment pledge and personal guarantee.</t>
        </is>
      </c>
    </row>
    <row r="34" ht="30" customHeight="1">
      <c r="B34" s="37" t="inlineStr">
        <is>
          <t>•  Non-discretionary nature of equipment repair supports demand resilience through cycles.</t>
        </is>
      </c>
    </row>
    <row r="35" ht="30" customHeight="1">
      <c r="B35" s="37" t="inlineStr">
        <is>
          <t>•  Equity injection and amortizing structure de-risk the bank's exposure over the term.</t>
        </is>
      </c>
    </row>
    <row r="37">
      <c r="A37" s="3" t="inlineStr">
        <is>
          <t>Approval Conditions</t>
        </is>
      </c>
    </row>
    <row r="38" ht="30" customHeight="1">
      <c r="B38" s="37" t="inlineStr">
        <is>
          <t>•  First-priority (purchase-money) lien on all financed vehicles and equipment; UCC-1 filed.</t>
        </is>
      </c>
    </row>
    <row r="39" ht="30" customHeight="1">
      <c r="B39" s="37" t="inlineStr">
        <is>
          <t>•  Unlimited personal guarantee of the majority owner.</t>
        </is>
      </c>
    </row>
    <row r="40" ht="30" customHeight="1">
      <c r="B40" s="37" t="inlineStr">
        <is>
          <t>•  Minimum equity injection of $85,000 verified at closing.</t>
        </is>
      </c>
    </row>
    <row r="41" ht="30" customHeight="1">
      <c r="B41" s="37" t="inlineStr">
        <is>
          <t>•  Financial covenants: maintain global DSCR &gt;=1.20x and Debt/EBITDA &lt;=3.5x, tested annually.</t>
        </is>
      </c>
    </row>
    <row r="42" ht="30" customHeight="1">
      <c r="B42" s="37" t="inlineStr">
        <is>
          <t>•  Annual CPA-reviewed financial statements and interim statements upon request.</t>
        </is>
      </c>
    </row>
    <row r="43" ht="30" customHeight="1">
      <c r="B43" s="37" t="inlineStr">
        <is>
          <t>•  Proof of insurance on collateral with bank named as loss payee.</t>
        </is>
      </c>
    </row>
    <row r="45" ht="30" customHeight="1">
      <c r="A45" s="10" t="inlineStr">
        <is>
          <t>This memo is the underwriter's written recommendation. The decision, risk grade and key metrics above pull live from the model tabs, so changing an assumption updates the memo.</t>
        </is>
      </c>
    </row>
  </sheetData>
  <mergeCells count="10">
    <mergeCell ref="A4:B4"/>
    <mergeCell ref="A26:B26"/>
    <mergeCell ref="A21:B21"/>
    <mergeCell ref="A2:B2"/>
    <mergeCell ref="A10:B10"/>
    <mergeCell ref="A45:B45"/>
    <mergeCell ref="A37:B37"/>
    <mergeCell ref="A14:B14"/>
    <mergeCell ref="A1:B1"/>
    <mergeCell ref="A31:B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2026-06-21T21:34:15Z</dcterms:created>
  <dcterms:modified xsi:type="dcterms:W3CDTF">2026-06-21T21:34:15Z</dcterms:modified>
</cp:coreProperties>
</file>